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ATA ANALYST\MIS Executive\Projects\MIS Sales Project\"/>
    </mc:Choice>
  </mc:AlternateContent>
  <xr:revisionPtr revIDLastSave="0" documentId="13_ncr:1_{68482C18-2005-442C-9C41-C2CECC18A75C}" xr6:coauthVersionLast="47" xr6:coauthVersionMax="47" xr10:uidLastSave="{00000000-0000-0000-0000-000000000000}"/>
  <bookViews>
    <workbookView xWindow="-110" yWindow="-110" windowWidth="19420" windowHeight="10300" firstSheet="3" activeTab="4" xr2:uid="{4687B596-4842-446C-81D6-C92EE3C47458}"/>
  </bookViews>
  <sheets>
    <sheet name="Raw_Data" sheetId="2" r:id="rId1"/>
    <sheet name="Cleaned_Data" sheetId="1" r:id="rId2"/>
    <sheet name="Daily_Sales_MIS" sheetId="4" r:id="rId3"/>
    <sheet name="Product_MIS" sheetId="5" r:id="rId4"/>
    <sheet name="State_MIS" sheetId="6" r:id="rId5"/>
    <sheet name="Channel_MIS" sheetId="7" r:id="rId6"/>
    <sheet name="KPI_Data" sheetId="9" r:id="rId7"/>
    <sheet name="Exception_Report" sheetId="10" r:id="rId8"/>
  </sheets>
  <definedNames>
    <definedName name="Slicer_Months__Sale_Date">#N/A</definedName>
    <definedName name="Slicer_Product">#N/A</definedName>
    <definedName name="Slicer_Sale_Month">#N/A</definedName>
    <definedName name="Slicer_Sale_Year">#N/A</definedName>
    <definedName name="Slicer_Sale_Year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10" l="1"/>
  <c r="Q2" i="10"/>
  <c r="N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J3" i="10"/>
  <c r="J4" i="10"/>
  <c r="J5" i="10"/>
  <c r="J6" i="10"/>
  <c r="J7" i="10"/>
  <c r="J8" i="10"/>
  <c r="J9" i="10"/>
  <c r="M9" i="10" s="1"/>
  <c r="J10" i="10"/>
  <c r="J11" i="10"/>
  <c r="J12" i="10"/>
  <c r="J13" i="10"/>
  <c r="J14" i="10"/>
  <c r="J15" i="10"/>
  <c r="J16" i="10"/>
  <c r="J17" i="10"/>
  <c r="M17" i="10" s="1"/>
  <c r="J18" i="10"/>
  <c r="J19" i="10"/>
  <c r="J20" i="10"/>
  <c r="J21" i="10"/>
  <c r="J22" i="10"/>
  <c r="J23" i="10"/>
  <c r="J24" i="10"/>
  <c r="J25" i="10"/>
  <c r="M25" i="10" s="1"/>
  <c r="J26" i="10"/>
  <c r="J27" i="10"/>
  <c r="J28" i="10"/>
  <c r="J29" i="10"/>
  <c r="J30" i="10"/>
  <c r="J31" i="10"/>
  <c r="J32" i="10"/>
  <c r="J33" i="10"/>
  <c r="M33" i="10" s="1"/>
  <c r="J34" i="10"/>
  <c r="J35" i="10"/>
  <c r="J36" i="10"/>
  <c r="J37" i="10"/>
  <c r="J38" i="10"/>
  <c r="J39" i="10"/>
  <c r="J40" i="10"/>
  <c r="J41" i="10"/>
  <c r="M41" i="10" s="1"/>
  <c r="J42" i="10"/>
  <c r="J43" i="10"/>
  <c r="J44" i="10"/>
  <c r="J45" i="10"/>
  <c r="J46" i="10"/>
  <c r="J47" i="10"/>
  <c r="J48" i="10"/>
  <c r="J49" i="10"/>
  <c r="M49" i="10" s="1"/>
  <c r="J50" i="10"/>
  <c r="J51" i="10"/>
  <c r="J52" i="10"/>
  <c r="J53" i="10"/>
  <c r="J54" i="10"/>
  <c r="J55" i="10"/>
  <c r="J56" i="10"/>
  <c r="J57" i="10"/>
  <c r="M57" i="10" s="1"/>
  <c r="J58" i="10"/>
  <c r="J59" i="10"/>
  <c r="J60" i="10"/>
  <c r="J61" i="10"/>
  <c r="J62" i="10"/>
  <c r="J63" i="10"/>
  <c r="J64" i="10"/>
  <c r="J65" i="10"/>
  <c r="M65" i="10" s="1"/>
  <c r="J66" i="10"/>
  <c r="J67" i="10"/>
  <c r="J68" i="10"/>
  <c r="J69" i="10"/>
  <c r="J70" i="10"/>
  <c r="J71" i="10"/>
  <c r="J72" i="10"/>
  <c r="J73" i="10"/>
  <c r="M73" i="10" s="1"/>
  <c r="J74" i="10"/>
  <c r="J75" i="10"/>
  <c r="J76" i="10"/>
  <c r="J77" i="10"/>
  <c r="J78" i="10"/>
  <c r="J79" i="10"/>
  <c r="J80" i="10"/>
  <c r="J81" i="10"/>
  <c r="M81" i="10" s="1"/>
  <c r="J82" i="10"/>
  <c r="J83" i="10"/>
  <c r="J84" i="10"/>
  <c r="J85" i="10"/>
  <c r="J86" i="10"/>
  <c r="J87" i="10"/>
  <c r="J88" i="10"/>
  <c r="J89" i="10"/>
  <c r="M89" i="10" s="1"/>
  <c r="J90" i="10"/>
  <c r="J91" i="10"/>
  <c r="J92" i="10"/>
  <c r="J93" i="10"/>
  <c r="J94" i="10"/>
  <c r="J95" i="10"/>
  <c r="J96" i="10"/>
  <c r="J97" i="10"/>
  <c r="M97" i="10" s="1"/>
  <c r="J98" i="10"/>
  <c r="J99" i="10"/>
  <c r="J100" i="10"/>
  <c r="J101" i="10"/>
  <c r="J102" i="10"/>
  <c r="J103" i="10"/>
  <c r="J104" i="10"/>
  <c r="J105" i="10"/>
  <c r="M105" i="10" s="1"/>
  <c r="J106" i="10"/>
  <c r="J107" i="10"/>
  <c r="J108" i="10"/>
  <c r="J109" i="10"/>
  <c r="J110" i="10"/>
  <c r="J111" i="10"/>
  <c r="J112" i="10"/>
  <c r="J113" i="10"/>
  <c r="M113" i="10" s="1"/>
  <c r="J114" i="10"/>
  <c r="J115" i="10"/>
  <c r="J116" i="10"/>
  <c r="J117" i="10"/>
  <c r="J118" i="10"/>
  <c r="J119" i="10"/>
  <c r="J120" i="10"/>
  <c r="J121" i="10"/>
  <c r="M121" i="10" s="1"/>
  <c r="J122" i="10"/>
  <c r="J123" i="10"/>
  <c r="J124" i="10"/>
  <c r="J125" i="10"/>
  <c r="J126" i="10"/>
  <c r="J127" i="10"/>
  <c r="J128" i="10"/>
  <c r="J129" i="10"/>
  <c r="M129" i="10" s="1"/>
  <c r="J130" i="10"/>
  <c r="J131" i="10"/>
  <c r="J132" i="10"/>
  <c r="J133" i="10"/>
  <c r="J134" i="10"/>
  <c r="J135" i="10"/>
  <c r="J136" i="10"/>
  <c r="J137" i="10"/>
  <c r="M137" i="10" s="1"/>
  <c r="J138" i="10"/>
  <c r="J139" i="10"/>
  <c r="J140" i="10"/>
  <c r="J141" i="10"/>
  <c r="J142" i="10"/>
  <c r="J143" i="10"/>
  <c r="J144" i="10"/>
  <c r="J145" i="10"/>
  <c r="M145" i="10" s="1"/>
  <c r="J146" i="10"/>
  <c r="J147" i="10"/>
  <c r="J148" i="10"/>
  <c r="J149" i="10"/>
  <c r="J150" i="10"/>
  <c r="J151" i="10"/>
  <c r="J152" i="10"/>
  <c r="M152" i="10" s="1"/>
  <c r="J153" i="10"/>
  <c r="M153" i="10" s="1"/>
  <c r="J154" i="10"/>
  <c r="J155" i="10"/>
  <c r="J156" i="10"/>
  <c r="J157" i="10"/>
  <c r="J158" i="10"/>
  <c r="J159" i="10"/>
  <c r="J160" i="10"/>
  <c r="M160" i="10" s="1"/>
  <c r="J161" i="10"/>
  <c r="M161" i="10" s="1"/>
  <c r="J162" i="10"/>
  <c r="J163" i="10"/>
  <c r="J164" i="10"/>
  <c r="J165" i="10"/>
  <c r="J166" i="10"/>
  <c r="J167" i="10"/>
  <c r="J168" i="10"/>
  <c r="M168" i="10" s="1"/>
  <c r="J169" i="10"/>
  <c r="M169" i="10" s="1"/>
  <c r="J170" i="10"/>
  <c r="J171" i="10"/>
  <c r="J172" i="10"/>
  <c r="J173" i="10"/>
  <c r="J174" i="10"/>
  <c r="J175" i="10"/>
  <c r="J176" i="10"/>
  <c r="M176" i="10" s="1"/>
  <c r="J177" i="10"/>
  <c r="M177" i="10" s="1"/>
  <c r="J178" i="10"/>
  <c r="J179" i="10"/>
  <c r="J180" i="10"/>
  <c r="J181" i="10"/>
  <c r="J182" i="10"/>
  <c r="J183" i="10"/>
  <c r="J184" i="10"/>
  <c r="M184" i="10" s="1"/>
  <c r="J185" i="10"/>
  <c r="M185" i="10" s="1"/>
  <c r="J186" i="10"/>
  <c r="J187" i="10"/>
  <c r="J188" i="10"/>
  <c r="J189" i="10"/>
  <c r="J190" i="10"/>
  <c r="J191" i="10"/>
  <c r="J192" i="10"/>
  <c r="M192" i="10" s="1"/>
  <c r="J193" i="10"/>
  <c r="M193" i="10" s="1"/>
  <c r="J194" i="10"/>
  <c r="J195" i="10"/>
  <c r="J196" i="10"/>
  <c r="J197" i="10"/>
  <c r="J198" i="10"/>
  <c r="J199" i="10"/>
  <c r="J200" i="10"/>
  <c r="M200" i="10" s="1"/>
  <c r="J201" i="10"/>
  <c r="M201" i="10" s="1"/>
  <c r="J202" i="10"/>
  <c r="J203" i="10"/>
  <c r="J204" i="10"/>
  <c r="J205" i="10"/>
  <c r="J206" i="10"/>
  <c r="J207" i="10"/>
  <c r="J208" i="10"/>
  <c r="M208" i="10" s="1"/>
  <c r="J209" i="10"/>
  <c r="M209" i="10" s="1"/>
  <c r="J210" i="10"/>
  <c r="J211" i="10"/>
  <c r="J212" i="10"/>
  <c r="J213" i="10"/>
  <c r="J214" i="10"/>
  <c r="J215" i="10"/>
  <c r="J216" i="10"/>
  <c r="M216" i="10" s="1"/>
  <c r="J217" i="10"/>
  <c r="M217" i="10" s="1"/>
  <c r="J218" i="10"/>
  <c r="J219" i="10"/>
  <c r="J220" i="10"/>
  <c r="J221" i="10"/>
  <c r="J222" i="10"/>
  <c r="J223" i="10"/>
  <c r="J224" i="10"/>
  <c r="M224" i="10" s="1"/>
  <c r="J225" i="10"/>
  <c r="M225" i="10" s="1"/>
  <c r="J226" i="10"/>
  <c r="J227" i="10"/>
  <c r="J228" i="10"/>
  <c r="J229" i="10"/>
  <c r="J230" i="10"/>
  <c r="J231" i="10"/>
  <c r="J232" i="10"/>
  <c r="M232" i="10" s="1"/>
  <c r="J233" i="10"/>
  <c r="M233" i="10" s="1"/>
  <c r="J234" i="10"/>
  <c r="J235" i="10"/>
  <c r="J236" i="10"/>
  <c r="J237" i="10"/>
  <c r="J238" i="10"/>
  <c r="J239" i="10"/>
  <c r="J240" i="10"/>
  <c r="M240" i="10" s="1"/>
  <c r="J241" i="10"/>
  <c r="M241" i="10" s="1"/>
  <c r="J242" i="10"/>
  <c r="J243" i="10"/>
  <c r="J244" i="10"/>
  <c r="J245" i="10"/>
  <c r="J246" i="10"/>
  <c r="J247" i="10"/>
  <c r="J248" i="10"/>
  <c r="M248" i="10" s="1"/>
  <c r="J249" i="10"/>
  <c r="M249" i="10" s="1"/>
  <c r="J250" i="10"/>
  <c r="J251" i="10"/>
  <c r="J252" i="10"/>
  <c r="J253" i="10"/>
  <c r="J254" i="10"/>
  <c r="J255" i="10"/>
  <c r="J256" i="10"/>
  <c r="M256" i="10" s="1"/>
  <c r="J257" i="10"/>
  <c r="M257" i="10" s="1"/>
  <c r="J258" i="10"/>
  <c r="J259" i="10"/>
  <c r="J260" i="10"/>
  <c r="J261" i="10"/>
  <c r="J262" i="10"/>
  <c r="J263" i="10"/>
  <c r="J264" i="10"/>
  <c r="M264" i="10" s="1"/>
  <c r="J265" i="10"/>
  <c r="M265" i="10" s="1"/>
  <c r="J266" i="10"/>
  <c r="J267" i="10"/>
  <c r="J268" i="10"/>
  <c r="J269" i="10"/>
  <c r="J270" i="10"/>
  <c r="J271" i="10"/>
  <c r="J272" i="10"/>
  <c r="M272" i="10" s="1"/>
  <c r="J273" i="10"/>
  <c r="M273" i="10" s="1"/>
  <c r="J274" i="10"/>
  <c r="J275" i="10"/>
  <c r="J276" i="10"/>
  <c r="J277" i="10"/>
  <c r="J278" i="10"/>
  <c r="J279" i="10"/>
  <c r="J280" i="10"/>
  <c r="M280" i="10" s="1"/>
  <c r="J281" i="10"/>
  <c r="M281" i="10" s="1"/>
  <c r="J282" i="10"/>
  <c r="J283" i="10"/>
  <c r="J284" i="10"/>
  <c r="J285" i="10"/>
  <c r="J286" i="10"/>
  <c r="J287" i="10"/>
  <c r="J288" i="10"/>
  <c r="M288" i="10" s="1"/>
  <c r="J289" i="10"/>
  <c r="M289" i="10" s="1"/>
  <c r="J290" i="10"/>
  <c r="J291" i="10"/>
  <c r="J292" i="10"/>
  <c r="J293" i="10"/>
  <c r="J294" i="10"/>
  <c r="J295" i="10"/>
  <c r="J296" i="10"/>
  <c r="M296" i="10" s="1"/>
  <c r="J297" i="10"/>
  <c r="M297" i="10" s="1"/>
  <c r="J298" i="10"/>
  <c r="J299" i="10"/>
  <c r="J300" i="10"/>
  <c r="J301" i="10"/>
  <c r="J302" i="10"/>
  <c r="J303" i="10"/>
  <c r="J304" i="10"/>
  <c r="M304" i="10" s="1"/>
  <c r="J305" i="10"/>
  <c r="M305" i="10" s="1"/>
  <c r="J306" i="10"/>
  <c r="J307" i="10"/>
  <c r="J308" i="10"/>
  <c r="J309" i="10"/>
  <c r="J310" i="10"/>
  <c r="J311" i="10"/>
  <c r="J312" i="10"/>
  <c r="M312" i="10" s="1"/>
  <c r="J313" i="10"/>
  <c r="M313" i="10" s="1"/>
  <c r="J314" i="10"/>
  <c r="J315" i="10"/>
  <c r="J316" i="10"/>
  <c r="J317" i="10"/>
  <c r="J318" i="10"/>
  <c r="J319" i="10"/>
  <c r="J320" i="10"/>
  <c r="M320" i="10" s="1"/>
  <c r="J321" i="10"/>
  <c r="M321" i="10" s="1"/>
  <c r="J322" i="10"/>
  <c r="J323" i="10"/>
  <c r="J324" i="10"/>
  <c r="J325" i="10"/>
  <c r="J326" i="10"/>
  <c r="J327" i="10"/>
  <c r="J328" i="10"/>
  <c r="M328" i="10" s="1"/>
  <c r="J329" i="10"/>
  <c r="M329" i="10" s="1"/>
  <c r="J330" i="10"/>
  <c r="J331" i="10"/>
  <c r="J332" i="10"/>
  <c r="J333" i="10"/>
  <c r="J334" i="10"/>
  <c r="J335" i="10"/>
  <c r="J336" i="10"/>
  <c r="M336" i="10" s="1"/>
  <c r="J337" i="10"/>
  <c r="M337" i="10" s="1"/>
  <c r="J338" i="10"/>
  <c r="J339" i="10"/>
  <c r="J340" i="10"/>
  <c r="J341" i="10"/>
  <c r="J342" i="10"/>
  <c r="J343" i="10"/>
  <c r="J344" i="10"/>
  <c r="M344" i="10" s="1"/>
  <c r="J345" i="10"/>
  <c r="M345" i="10" s="1"/>
  <c r="J346" i="10"/>
  <c r="J347" i="10"/>
  <c r="J348" i="10"/>
  <c r="J349" i="10"/>
  <c r="J350" i="10"/>
  <c r="J351" i="10"/>
  <c r="J352" i="10"/>
  <c r="M352" i="10" s="1"/>
  <c r="J353" i="10"/>
  <c r="M353" i="10" s="1"/>
  <c r="J354" i="10"/>
  <c r="J355" i="10"/>
  <c r="J356" i="10"/>
  <c r="J357" i="10"/>
  <c r="J358" i="10"/>
  <c r="J359" i="10"/>
  <c r="J360" i="10"/>
  <c r="M360" i="10" s="1"/>
  <c r="J361" i="10"/>
  <c r="M361" i="10" s="1"/>
  <c r="J362" i="10"/>
  <c r="J363" i="10"/>
  <c r="J364" i="10"/>
  <c r="J365" i="10"/>
  <c r="J366" i="10"/>
  <c r="J367" i="10"/>
  <c r="J368" i="10"/>
  <c r="M368" i="10" s="1"/>
  <c r="J369" i="10"/>
  <c r="M369" i="10" s="1"/>
  <c r="J370" i="10"/>
  <c r="J371" i="10"/>
  <c r="J372" i="10"/>
  <c r="J373" i="10"/>
  <c r="J374" i="10"/>
  <c r="J375" i="10"/>
  <c r="J376" i="10"/>
  <c r="M376" i="10" s="1"/>
  <c r="J377" i="10"/>
  <c r="M377" i="10" s="1"/>
  <c r="J378" i="10"/>
  <c r="J379" i="10"/>
  <c r="J380" i="10"/>
  <c r="J381" i="10"/>
  <c r="J382" i="10"/>
  <c r="J383" i="10"/>
  <c r="J384" i="10"/>
  <c r="M384" i="10" s="1"/>
  <c r="J385" i="10"/>
  <c r="M385" i="10" s="1"/>
  <c r="J386" i="10"/>
  <c r="J387" i="10"/>
  <c r="J388" i="10"/>
  <c r="J389" i="10"/>
  <c r="J390" i="10"/>
  <c r="J391" i="10"/>
  <c r="J392" i="10"/>
  <c r="M392" i="10" s="1"/>
  <c r="J393" i="10"/>
  <c r="M393" i="10" s="1"/>
  <c r="J394" i="10"/>
  <c r="J395" i="10"/>
  <c r="J396" i="10"/>
  <c r="J397" i="10"/>
  <c r="J398" i="10"/>
  <c r="J399" i="10"/>
  <c r="J400" i="10"/>
  <c r="M400" i="10" s="1"/>
  <c r="J401" i="10"/>
  <c r="J402" i="10"/>
  <c r="J403" i="10"/>
  <c r="J404" i="10"/>
  <c r="J405" i="10"/>
  <c r="J406" i="10"/>
  <c r="J407" i="10"/>
  <c r="J408" i="10"/>
  <c r="M408" i="10" s="1"/>
  <c r="J409" i="10"/>
  <c r="M409" i="10" s="1"/>
  <c r="J410" i="10"/>
  <c r="J411" i="10"/>
  <c r="J412" i="10"/>
  <c r="J413" i="10"/>
  <c r="J414" i="10"/>
  <c r="J415" i="10"/>
  <c r="J416" i="10"/>
  <c r="M416" i="10" s="1"/>
  <c r="J417" i="10"/>
  <c r="M417" i="10" s="1"/>
  <c r="J418" i="10"/>
  <c r="J419" i="10"/>
  <c r="J420" i="10"/>
  <c r="J421" i="10"/>
  <c r="J422" i="10"/>
  <c r="J423" i="10"/>
  <c r="J424" i="10"/>
  <c r="M424" i="10" s="1"/>
  <c r="J425" i="10"/>
  <c r="M425" i="10" s="1"/>
  <c r="J426" i="10"/>
  <c r="J427" i="10"/>
  <c r="J428" i="10"/>
  <c r="J429" i="10"/>
  <c r="J430" i="10"/>
  <c r="J431" i="10"/>
  <c r="J432" i="10"/>
  <c r="M432" i="10" s="1"/>
  <c r="J433" i="10"/>
  <c r="M433" i="10" s="1"/>
  <c r="J434" i="10"/>
  <c r="J435" i="10"/>
  <c r="J436" i="10"/>
  <c r="J437" i="10"/>
  <c r="J438" i="10"/>
  <c r="J439" i="10"/>
  <c r="J440" i="10"/>
  <c r="M440" i="10" s="1"/>
  <c r="J441" i="10"/>
  <c r="J442" i="10"/>
  <c r="J443" i="10"/>
  <c r="J444" i="10"/>
  <c r="J445" i="10"/>
  <c r="J446" i="10"/>
  <c r="J447" i="10"/>
  <c r="J448" i="10"/>
  <c r="M448" i="10" s="1"/>
  <c r="J449" i="10"/>
  <c r="M449" i="10" s="1"/>
  <c r="J450" i="10"/>
  <c r="J451" i="10"/>
  <c r="J452" i="10"/>
  <c r="J453" i="10"/>
  <c r="J454" i="10"/>
  <c r="J455" i="10"/>
  <c r="J456" i="10"/>
  <c r="M456" i="10" s="1"/>
  <c r="J457" i="10"/>
  <c r="M457" i="10" s="1"/>
  <c r="J458" i="10"/>
  <c r="J459" i="10"/>
  <c r="J460" i="10"/>
  <c r="J461" i="10"/>
  <c r="J462" i="10"/>
  <c r="J463" i="10"/>
  <c r="J464" i="10"/>
  <c r="M464" i="10" s="1"/>
  <c r="J465" i="10"/>
  <c r="M465" i="10" s="1"/>
  <c r="J466" i="10"/>
  <c r="J467" i="10"/>
  <c r="J468" i="10"/>
  <c r="J469" i="10"/>
  <c r="J470" i="10"/>
  <c r="J471" i="10"/>
  <c r="J472" i="10"/>
  <c r="M472" i="10" s="1"/>
  <c r="J473" i="10"/>
  <c r="M473" i="10" s="1"/>
  <c r="J474" i="10"/>
  <c r="J475" i="10"/>
  <c r="J476" i="10"/>
  <c r="J477" i="10"/>
  <c r="J478" i="10"/>
  <c r="J479" i="10"/>
  <c r="J480" i="10"/>
  <c r="M480" i="10" s="1"/>
  <c r="J481" i="10"/>
  <c r="M481" i="10" s="1"/>
  <c r="J482" i="10"/>
  <c r="J483" i="10"/>
  <c r="J484" i="10"/>
  <c r="J485" i="10"/>
  <c r="J486" i="10"/>
  <c r="J487" i="10"/>
  <c r="J488" i="10"/>
  <c r="M488" i="10" s="1"/>
  <c r="J489" i="10"/>
  <c r="M489" i="10" s="1"/>
  <c r="J490" i="10"/>
  <c r="J491" i="10"/>
  <c r="J492" i="10"/>
  <c r="J493" i="10"/>
  <c r="J494" i="10"/>
  <c r="J495" i="10"/>
  <c r="J496" i="10"/>
  <c r="M496" i="10" s="1"/>
  <c r="J497" i="10"/>
  <c r="M497" i="10" s="1"/>
  <c r="J498" i="10"/>
  <c r="J499" i="10"/>
  <c r="J500" i="10"/>
  <c r="J501" i="10"/>
  <c r="J502" i="10"/>
  <c r="J503" i="10"/>
  <c r="J504" i="10"/>
  <c r="M504" i="10" s="1"/>
  <c r="J505" i="10"/>
  <c r="J506" i="10"/>
  <c r="J507" i="10"/>
  <c r="J508" i="10"/>
  <c r="J509" i="10"/>
  <c r="J510" i="10"/>
  <c r="J511" i="10"/>
  <c r="J512" i="10"/>
  <c r="M512" i="10" s="1"/>
  <c r="J513" i="10"/>
  <c r="M513" i="10" s="1"/>
  <c r="J514" i="10"/>
  <c r="J515" i="10"/>
  <c r="J516" i="10"/>
  <c r="J517" i="10"/>
  <c r="J518" i="10"/>
  <c r="J519" i="10"/>
  <c r="J520" i="10"/>
  <c r="M520" i="10" s="1"/>
  <c r="J521" i="10"/>
  <c r="M521" i="10" s="1"/>
  <c r="J522" i="10"/>
  <c r="J523" i="10"/>
  <c r="J524" i="10"/>
  <c r="J525" i="10"/>
  <c r="J526" i="10"/>
  <c r="J527" i="10"/>
  <c r="J528" i="10"/>
  <c r="M528" i="10" s="1"/>
  <c r="J529" i="10"/>
  <c r="J530" i="10"/>
  <c r="J531" i="10"/>
  <c r="J532" i="10"/>
  <c r="J533" i="10"/>
  <c r="J534" i="10"/>
  <c r="J535" i="10"/>
  <c r="J536" i="10"/>
  <c r="M536" i="10" s="1"/>
  <c r="J537" i="10"/>
  <c r="M537" i="10" s="1"/>
  <c r="J538" i="10"/>
  <c r="J539" i="10"/>
  <c r="J540" i="10"/>
  <c r="J541" i="10"/>
  <c r="J542" i="10"/>
  <c r="J543" i="10"/>
  <c r="J544" i="10"/>
  <c r="M544" i="10" s="1"/>
  <c r="J545" i="10"/>
  <c r="M545" i="10" s="1"/>
  <c r="J546" i="10"/>
  <c r="J547" i="10"/>
  <c r="J548" i="10"/>
  <c r="J549" i="10"/>
  <c r="J550" i="10"/>
  <c r="J551" i="10"/>
  <c r="I3" i="10"/>
  <c r="M3" i="10" s="1"/>
  <c r="I4" i="10"/>
  <c r="M4" i="10" s="1"/>
  <c r="I5" i="10"/>
  <c r="M5" i="10" s="1"/>
  <c r="I6" i="10"/>
  <c r="I7" i="10"/>
  <c r="I8" i="10"/>
  <c r="I9" i="10"/>
  <c r="I10" i="10"/>
  <c r="I11" i="10"/>
  <c r="M11" i="10" s="1"/>
  <c r="I12" i="10"/>
  <c r="M12" i="10" s="1"/>
  <c r="I13" i="10"/>
  <c r="M13" i="10" s="1"/>
  <c r="I14" i="10"/>
  <c r="I15" i="10"/>
  <c r="I16" i="10"/>
  <c r="I17" i="10"/>
  <c r="I18" i="10"/>
  <c r="I19" i="10"/>
  <c r="M19" i="10" s="1"/>
  <c r="I20" i="10"/>
  <c r="M20" i="10" s="1"/>
  <c r="I21" i="10"/>
  <c r="M21" i="10" s="1"/>
  <c r="I22" i="10"/>
  <c r="I23" i="10"/>
  <c r="I24" i="10"/>
  <c r="I25" i="10"/>
  <c r="I26" i="10"/>
  <c r="I27" i="10"/>
  <c r="M27" i="10" s="1"/>
  <c r="I28" i="10"/>
  <c r="M28" i="10" s="1"/>
  <c r="I29" i="10"/>
  <c r="M29" i="10" s="1"/>
  <c r="I30" i="10"/>
  <c r="I31" i="10"/>
  <c r="I32" i="10"/>
  <c r="I33" i="10"/>
  <c r="I34" i="10"/>
  <c r="I35" i="10"/>
  <c r="M35" i="10" s="1"/>
  <c r="I36" i="10"/>
  <c r="M36" i="10" s="1"/>
  <c r="I37" i="10"/>
  <c r="M37" i="10" s="1"/>
  <c r="I38" i="10"/>
  <c r="I39" i="10"/>
  <c r="I40" i="10"/>
  <c r="I41" i="10"/>
  <c r="I42" i="10"/>
  <c r="I43" i="10"/>
  <c r="M43" i="10" s="1"/>
  <c r="I44" i="10"/>
  <c r="M44" i="10" s="1"/>
  <c r="I45" i="10"/>
  <c r="M45" i="10" s="1"/>
  <c r="I46" i="10"/>
  <c r="I47" i="10"/>
  <c r="I48" i="10"/>
  <c r="I49" i="10"/>
  <c r="I50" i="10"/>
  <c r="I51" i="10"/>
  <c r="M51" i="10" s="1"/>
  <c r="I52" i="10"/>
  <c r="M52" i="10" s="1"/>
  <c r="I53" i="10"/>
  <c r="M53" i="10" s="1"/>
  <c r="I54" i="10"/>
  <c r="I55" i="10"/>
  <c r="I56" i="10"/>
  <c r="I57" i="10"/>
  <c r="I58" i="10"/>
  <c r="I59" i="10"/>
  <c r="M59" i="10" s="1"/>
  <c r="I60" i="10"/>
  <c r="M60" i="10" s="1"/>
  <c r="I61" i="10"/>
  <c r="M61" i="10" s="1"/>
  <c r="I62" i="10"/>
  <c r="I63" i="10"/>
  <c r="I64" i="10"/>
  <c r="I65" i="10"/>
  <c r="I66" i="10"/>
  <c r="I67" i="10"/>
  <c r="M67" i="10" s="1"/>
  <c r="I68" i="10"/>
  <c r="M68" i="10" s="1"/>
  <c r="I69" i="10"/>
  <c r="M69" i="10" s="1"/>
  <c r="I70" i="10"/>
  <c r="I71" i="10"/>
  <c r="I72" i="10"/>
  <c r="I73" i="10"/>
  <c r="I74" i="10"/>
  <c r="I75" i="10"/>
  <c r="M75" i="10" s="1"/>
  <c r="I76" i="10"/>
  <c r="M76" i="10" s="1"/>
  <c r="I77" i="10"/>
  <c r="M77" i="10" s="1"/>
  <c r="I78" i="10"/>
  <c r="I79" i="10"/>
  <c r="I80" i="10"/>
  <c r="I81" i="10"/>
  <c r="I82" i="10"/>
  <c r="I83" i="10"/>
  <c r="M83" i="10" s="1"/>
  <c r="I84" i="10"/>
  <c r="M84" i="10" s="1"/>
  <c r="I85" i="10"/>
  <c r="M85" i="10" s="1"/>
  <c r="I86" i="10"/>
  <c r="I87" i="10"/>
  <c r="I88" i="10"/>
  <c r="I89" i="10"/>
  <c r="I90" i="10"/>
  <c r="I91" i="10"/>
  <c r="M91" i="10" s="1"/>
  <c r="I92" i="10"/>
  <c r="M92" i="10" s="1"/>
  <c r="I93" i="10"/>
  <c r="M93" i="10" s="1"/>
  <c r="I94" i="10"/>
  <c r="I95" i="10"/>
  <c r="I96" i="10"/>
  <c r="I97" i="10"/>
  <c r="I98" i="10"/>
  <c r="I99" i="10"/>
  <c r="M99" i="10" s="1"/>
  <c r="I100" i="10"/>
  <c r="M100" i="10" s="1"/>
  <c r="I101" i="10"/>
  <c r="M101" i="10" s="1"/>
  <c r="I102" i="10"/>
  <c r="I103" i="10"/>
  <c r="I104" i="10"/>
  <c r="I105" i="10"/>
  <c r="I106" i="10"/>
  <c r="I107" i="10"/>
  <c r="M107" i="10" s="1"/>
  <c r="I108" i="10"/>
  <c r="M108" i="10" s="1"/>
  <c r="I109" i="10"/>
  <c r="M109" i="10" s="1"/>
  <c r="I110" i="10"/>
  <c r="I111" i="10"/>
  <c r="I112" i="10"/>
  <c r="I113" i="10"/>
  <c r="I114" i="10"/>
  <c r="I115" i="10"/>
  <c r="M115" i="10" s="1"/>
  <c r="I116" i="10"/>
  <c r="M116" i="10" s="1"/>
  <c r="I117" i="10"/>
  <c r="M117" i="10" s="1"/>
  <c r="I118" i="10"/>
  <c r="I119" i="10"/>
  <c r="I120" i="10"/>
  <c r="I121" i="10"/>
  <c r="I122" i="10"/>
  <c r="I123" i="10"/>
  <c r="M123" i="10" s="1"/>
  <c r="I124" i="10"/>
  <c r="M124" i="10" s="1"/>
  <c r="I125" i="10"/>
  <c r="M125" i="10" s="1"/>
  <c r="I126" i="10"/>
  <c r="I127" i="10"/>
  <c r="I128" i="10"/>
  <c r="I129" i="10"/>
  <c r="I130" i="10"/>
  <c r="I131" i="10"/>
  <c r="M131" i="10" s="1"/>
  <c r="I132" i="10"/>
  <c r="M132" i="10" s="1"/>
  <c r="I133" i="10"/>
  <c r="M133" i="10" s="1"/>
  <c r="I134" i="10"/>
  <c r="I135" i="10"/>
  <c r="I136" i="10"/>
  <c r="I137" i="10"/>
  <c r="I138" i="10"/>
  <c r="I139" i="10"/>
  <c r="M139" i="10" s="1"/>
  <c r="I140" i="10"/>
  <c r="M140" i="10" s="1"/>
  <c r="I141" i="10"/>
  <c r="M141" i="10" s="1"/>
  <c r="I142" i="10"/>
  <c r="I143" i="10"/>
  <c r="I144" i="10"/>
  <c r="I145" i="10"/>
  <c r="I146" i="10"/>
  <c r="I147" i="10"/>
  <c r="M147" i="10" s="1"/>
  <c r="I148" i="10"/>
  <c r="M148" i="10" s="1"/>
  <c r="I149" i="10"/>
  <c r="M149" i="10" s="1"/>
  <c r="I150" i="10"/>
  <c r="I151" i="10"/>
  <c r="I152" i="10"/>
  <c r="I153" i="10"/>
  <c r="I154" i="10"/>
  <c r="I155" i="10"/>
  <c r="M155" i="10" s="1"/>
  <c r="I156" i="10"/>
  <c r="M156" i="10" s="1"/>
  <c r="I157" i="10"/>
  <c r="M157" i="10" s="1"/>
  <c r="I158" i="10"/>
  <c r="I159" i="10"/>
  <c r="I160" i="10"/>
  <c r="I161" i="10"/>
  <c r="I162" i="10"/>
  <c r="I163" i="10"/>
  <c r="M163" i="10" s="1"/>
  <c r="I164" i="10"/>
  <c r="M164" i="10" s="1"/>
  <c r="I165" i="10"/>
  <c r="M165" i="10" s="1"/>
  <c r="I166" i="10"/>
  <c r="I167" i="10"/>
  <c r="I168" i="10"/>
  <c r="I169" i="10"/>
  <c r="I170" i="10"/>
  <c r="I171" i="10"/>
  <c r="M171" i="10" s="1"/>
  <c r="I172" i="10"/>
  <c r="M172" i="10" s="1"/>
  <c r="I173" i="10"/>
  <c r="M173" i="10" s="1"/>
  <c r="I174" i="10"/>
  <c r="I175" i="10"/>
  <c r="I176" i="10"/>
  <c r="I177" i="10"/>
  <c r="I178" i="10"/>
  <c r="I179" i="10"/>
  <c r="M179" i="10" s="1"/>
  <c r="I180" i="10"/>
  <c r="M180" i="10" s="1"/>
  <c r="I181" i="10"/>
  <c r="M181" i="10" s="1"/>
  <c r="I182" i="10"/>
  <c r="I183" i="10"/>
  <c r="I184" i="10"/>
  <c r="I185" i="10"/>
  <c r="I186" i="10"/>
  <c r="I187" i="10"/>
  <c r="M187" i="10" s="1"/>
  <c r="I188" i="10"/>
  <c r="M188" i="10" s="1"/>
  <c r="I189" i="10"/>
  <c r="M189" i="10" s="1"/>
  <c r="I190" i="10"/>
  <c r="I191" i="10"/>
  <c r="I192" i="10"/>
  <c r="I193" i="10"/>
  <c r="I194" i="10"/>
  <c r="I195" i="10"/>
  <c r="M195" i="10" s="1"/>
  <c r="I196" i="10"/>
  <c r="M196" i="10" s="1"/>
  <c r="I197" i="10"/>
  <c r="M197" i="10" s="1"/>
  <c r="I198" i="10"/>
  <c r="I199" i="10"/>
  <c r="I200" i="10"/>
  <c r="I201" i="10"/>
  <c r="I202" i="10"/>
  <c r="I203" i="10"/>
  <c r="M203" i="10" s="1"/>
  <c r="I204" i="10"/>
  <c r="M204" i="10" s="1"/>
  <c r="I205" i="10"/>
  <c r="M205" i="10" s="1"/>
  <c r="I206" i="10"/>
  <c r="I207" i="10"/>
  <c r="I208" i="10"/>
  <c r="I209" i="10"/>
  <c r="I210" i="10"/>
  <c r="I211" i="10"/>
  <c r="M211" i="10" s="1"/>
  <c r="I212" i="10"/>
  <c r="M212" i="10" s="1"/>
  <c r="I213" i="10"/>
  <c r="M213" i="10" s="1"/>
  <c r="I214" i="10"/>
  <c r="I215" i="10"/>
  <c r="I216" i="10"/>
  <c r="I217" i="10"/>
  <c r="I218" i="10"/>
  <c r="I219" i="10"/>
  <c r="M219" i="10" s="1"/>
  <c r="I220" i="10"/>
  <c r="M220" i="10" s="1"/>
  <c r="I221" i="10"/>
  <c r="M221" i="10" s="1"/>
  <c r="I222" i="10"/>
  <c r="I223" i="10"/>
  <c r="I224" i="10"/>
  <c r="I225" i="10"/>
  <c r="I226" i="10"/>
  <c r="I227" i="10"/>
  <c r="M227" i="10" s="1"/>
  <c r="I228" i="10"/>
  <c r="M228" i="10" s="1"/>
  <c r="I229" i="10"/>
  <c r="M229" i="10" s="1"/>
  <c r="I230" i="10"/>
  <c r="I231" i="10"/>
  <c r="I232" i="10"/>
  <c r="I233" i="10"/>
  <c r="I234" i="10"/>
  <c r="I235" i="10"/>
  <c r="M235" i="10" s="1"/>
  <c r="I236" i="10"/>
  <c r="M236" i="10" s="1"/>
  <c r="I237" i="10"/>
  <c r="M237" i="10" s="1"/>
  <c r="I238" i="10"/>
  <c r="I239" i="10"/>
  <c r="I240" i="10"/>
  <c r="I241" i="10"/>
  <c r="I242" i="10"/>
  <c r="I243" i="10"/>
  <c r="M243" i="10" s="1"/>
  <c r="I244" i="10"/>
  <c r="M244" i="10" s="1"/>
  <c r="I245" i="10"/>
  <c r="M245" i="10" s="1"/>
  <c r="I246" i="10"/>
  <c r="I247" i="10"/>
  <c r="I248" i="10"/>
  <c r="I249" i="10"/>
  <c r="I250" i="10"/>
  <c r="I251" i="10"/>
  <c r="M251" i="10" s="1"/>
  <c r="I252" i="10"/>
  <c r="M252" i="10" s="1"/>
  <c r="I253" i="10"/>
  <c r="M253" i="10" s="1"/>
  <c r="I254" i="10"/>
  <c r="I255" i="10"/>
  <c r="I256" i="10"/>
  <c r="I257" i="10"/>
  <c r="I258" i="10"/>
  <c r="I259" i="10"/>
  <c r="M259" i="10" s="1"/>
  <c r="I260" i="10"/>
  <c r="M260" i="10" s="1"/>
  <c r="I261" i="10"/>
  <c r="M261" i="10" s="1"/>
  <c r="I262" i="10"/>
  <c r="I263" i="10"/>
  <c r="I264" i="10"/>
  <c r="I265" i="10"/>
  <c r="I266" i="10"/>
  <c r="I267" i="10"/>
  <c r="M267" i="10" s="1"/>
  <c r="I268" i="10"/>
  <c r="M268" i="10" s="1"/>
  <c r="I269" i="10"/>
  <c r="M269" i="10" s="1"/>
  <c r="I270" i="10"/>
  <c r="I271" i="10"/>
  <c r="I272" i="10"/>
  <c r="I273" i="10"/>
  <c r="I274" i="10"/>
  <c r="I275" i="10"/>
  <c r="M275" i="10" s="1"/>
  <c r="I276" i="10"/>
  <c r="M276" i="10" s="1"/>
  <c r="I277" i="10"/>
  <c r="M277" i="10" s="1"/>
  <c r="I278" i="10"/>
  <c r="I279" i="10"/>
  <c r="I280" i="10"/>
  <c r="I281" i="10"/>
  <c r="I282" i="10"/>
  <c r="I283" i="10"/>
  <c r="M283" i="10" s="1"/>
  <c r="I284" i="10"/>
  <c r="M284" i="10" s="1"/>
  <c r="I285" i="10"/>
  <c r="M285" i="10" s="1"/>
  <c r="I286" i="10"/>
  <c r="I287" i="10"/>
  <c r="I288" i="10"/>
  <c r="I289" i="10"/>
  <c r="I290" i="10"/>
  <c r="I291" i="10"/>
  <c r="M291" i="10" s="1"/>
  <c r="I292" i="10"/>
  <c r="M292" i="10" s="1"/>
  <c r="I293" i="10"/>
  <c r="M293" i="10" s="1"/>
  <c r="I294" i="10"/>
  <c r="I295" i="10"/>
  <c r="I296" i="10"/>
  <c r="I297" i="10"/>
  <c r="I298" i="10"/>
  <c r="I299" i="10"/>
  <c r="M299" i="10" s="1"/>
  <c r="I300" i="10"/>
  <c r="M300" i="10" s="1"/>
  <c r="I301" i="10"/>
  <c r="M301" i="10" s="1"/>
  <c r="I302" i="10"/>
  <c r="I303" i="10"/>
  <c r="I304" i="10"/>
  <c r="I305" i="10"/>
  <c r="I306" i="10"/>
  <c r="I307" i="10"/>
  <c r="M307" i="10" s="1"/>
  <c r="I308" i="10"/>
  <c r="M308" i="10" s="1"/>
  <c r="I309" i="10"/>
  <c r="M309" i="10" s="1"/>
  <c r="I310" i="10"/>
  <c r="I311" i="10"/>
  <c r="I312" i="10"/>
  <c r="I313" i="10"/>
  <c r="I314" i="10"/>
  <c r="I315" i="10"/>
  <c r="M315" i="10" s="1"/>
  <c r="I316" i="10"/>
  <c r="M316" i="10" s="1"/>
  <c r="I317" i="10"/>
  <c r="M317" i="10" s="1"/>
  <c r="I318" i="10"/>
  <c r="I319" i="10"/>
  <c r="I320" i="10"/>
  <c r="I321" i="10"/>
  <c r="I322" i="10"/>
  <c r="I323" i="10"/>
  <c r="M323" i="10" s="1"/>
  <c r="I324" i="10"/>
  <c r="M324" i="10" s="1"/>
  <c r="I325" i="10"/>
  <c r="M325" i="10" s="1"/>
  <c r="I326" i="10"/>
  <c r="I327" i="10"/>
  <c r="I328" i="10"/>
  <c r="I329" i="10"/>
  <c r="I330" i="10"/>
  <c r="I331" i="10"/>
  <c r="M331" i="10" s="1"/>
  <c r="I332" i="10"/>
  <c r="M332" i="10" s="1"/>
  <c r="I333" i="10"/>
  <c r="M333" i="10" s="1"/>
  <c r="I334" i="10"/>
  <c r="I335" i="10"/>
  <c r="I336" i="10"/>
  <c r="I337" i="10"/>
  <c r="I338" i="10"/>
  <c r="I339" i="10"/>
  <c r="M339" i="10" s="1"/>
  <c r="I340" i="10"/>
  <c r="M340" i="10" s="1"/>
  <c r="I341" i="10"/>
  <c r="M341" i="10" s="1"/>
  <c r="I342" i="10"/>
  <c r="I343" i="10"/>
  <c r="I344" i="10"/>
  <c r="I345" i="10"/>
  <c r="I346" i="10"/>
  <c r="I347" i="10"/>
  <c r="M347" i="10" s="1"/>
  <c r="I348" i="10"/>
  <c r="M348" i="10" s="1"/>
  <c r="I349" i="10"/>
  <c r="M349" i="10" s="1"/>
  <c r="I350" i="10"/>
  <c r="I351" i="10"/>
  <c r="I352" i="10"/>
  <c r="I353" i="10"/>
  <c r="I354" i="10"/>
  <c r="I355" i="10"/>
  <c r="M355" i="10" s="1"/>
  <c r="I356" i="10"/>
  <c r="M356" i="10" s="1"/>
  <c r="I357" i="10"/>
  <c r="M357" i="10" s="1"/>
  <c r="I358" i="10"/>
  <c r="I359" i="10"/>
  <c r="I360" i="10"/>
  <c r="I361" i="10"/>
  <c r="I362" i="10"/>
  <c r="I363" i="10"/>
  <c r="M363" i="10" s="1"/>
  <c r="I364" i="10"/>
  <c r="M364" i="10" s="1"/>
  <c r="I365" i="10"/>
  <c r="M365" i="10" s="1"/>
  <c r="I366" i="10"/>
  <c r="I367" i="10"/>
  <c r="I368" i="10"/>
  <c r="I369" i="10"/>
  <c r="I370" i="10"/>
  <c r="I371" i="10"/>
  <c r="M371" i="10" s="1"/>
  <c r="I372" i="10"/>
  <c r="M372" i="10" s="1"/>
  <c r="I373" i="10"/>
  <c r="M373" i="10" s="1"/>
  <c r="I374" i="10"/>
  <c r="I375" i="10"/>
  <c r="I376" i="10"/>
  <c r="I377" i="10"/>
  <c r="I378" i="10"/>
  <c r="I379" i="10"/>
  <c r="M379" i="10" s="1"/>
  <c r="I380" i="10"/>
  <c r="M380" i="10" s="1"/>
  <c r="I381" i="10"/>
  <c r="M381" i="10" s="1"/>
  <c r="I382" i="10"/>
  <c r="I383" i="10"/>
  <c r="I384" i="10"/>
  <c r="I385" i="10"/>
  <c r="I386" i="10"/>
  <c r="I387" i="10"/>
  <c r="M387" i="10" s="1"/>
  <c r="I388" i="10"/>
  <c r="M388" i="10" s="1"/>
  <c r="I389" i="10"/>
  <c r="M389" i="10" s="1"/>
  <c r="I390" i="10"/>
  <c r="I391" i="10"/>
  <c r="I392" i="10"/>
  <c r="I393" i="10"/>
  <c r="I394" i="10"/>
  <c r="I395" i="10"/>
  <c r="M395" i="10" s="1"/>
  <c r="I396" i="10"/>
  <c r="M396" i="10" s="1"/>
  <c r="I397" i="10"/>
  <c r="M397" i="10" s="1"/>
  <c r="I398" i="10"/>
  <c r="I399" i="10"/>
  <c r="I400" i="10"/>
  <c r="I401" i="10"/>
  <c r="I402" i="10"/>
  <c r="I403" i="10"/>
  <c r="M403" i="10" s="1"/>
  <c r="I404" i="10"/>
  <c r="M404" i="10" s="1"/>
  <c r="I405" i="10"/>
  <c r="M405" i="10" s="1"/>
  <c r="I406" i="10"/>
  <c r="I407" i="10"/>
  <c r="I408" i="10"/>
  <c r="I409" i="10"/>
  <c r="I410" i="10"/>
  <c r="I411" i="10"/>
  <c r="M411" i="10" s="1"/>
  <c r="I412" i="10"/>
  <c r="M412" i="10" s="1"/>
  <c r="I413" i="10"/>
  <c r="M413" i="10" s="1"/>
  <c r="I414" i="10"/>
  <c r="I415" i="10"/>
  <c r="I416" i="10"/>
  <c r="I417" i="10"/>
  <c r="I418" i="10"/>
  <c r="I419" i="10"/>
  <c r="M419" i="10" s="1"/>
  <c r="I420" i="10"/>
  <c r="M420" i="10" s="1"/>
  <c r="I421" i="10"/>
  <c r="M421" i="10" s="1"/>
  <c r="I422" i="10"/>
  <c r="I423" i="10"/>
  <c r="I424" i="10"/>
  <c r="I425" i="10"/>
  <c r="I426" i="10"/>
  <c r="I427" i="10"/>
  <c r="M427" i="10" s="1"/>
  <c r="I428" i="10"/>
  <c r="M428" i="10" s="1"/>
  <c r="I429" i="10"/>
  <c r="M429" i="10" s="1"/>
  <c r="I430" i="10"/>
  <c r="I431" i="10"/>
  <c r="I432" i="10"/>
  <c r="I433" i="10"/>
  <c r="I434" i="10"/>
  <c r="I435" i="10"/>
  <c r="M435" i="10" s="1"/>
  <c r="I436" i="10"/>
  <c r="M436" i="10" s="1"/>
  <c r="I437" i="10"/>
  <c r="M437" i="10" s="1"/>
  <c r="I438" i="10"/>
  <c r="I439" i="10"/>
  <c r="I440" i="10"/>
  <c r="I441" i="10"/>
  <c r="I442" i="10"/>
  <c r="I443" i="10"/>
  <c r="M443" i="10" s="1"/>
  <c r="I444" i="10"/>
  <c r="M444" i="10" s="1"/>
  <c r="I445" i="10"/>
  <c r="M445" i="10" s="1"/>
  <c r="I446" i="10"/>
  <c r="I447" i="10"/>
  <c r="I448" i="10"/>
  <c r="I449" i="10"/>
  <c r="I450" i="10"/>
  <c r="I451" i="10"/>
  <c r="M451" i="10" s="1"/>
  <c r="I452" i="10"/>
  <c r="M452" i="10" s="1"/>
  <c r="I453" i="10"/>
  <c r="M453" i="10" s="1"/>
  <c r="I454" i="10"/>
  <c r="I455" i="10"/>
  <c r="I456" i="10"/>
  <c r="I457" i="10"/>
  <c r="I458" i="10"/>
  <c r="I459" i="10"/>
  <c r="M459" i="10" s="1"/>
  <c r="I460" i="10"/>
  <c r="M460" i="10" s="1"/>
  <c r="I461" i="10"/>
  <c r="M461" i="10" s="1"/>
  <c r="I462" i="10"/>
  <c r="I463" i="10"/>
  <c r="I464" i="10"/>
  <c r="I465" i="10"/>
  <c r="I466" i="10"/>
  <c r="I467" i="10"/>
  <c r="M467" i="10" s="1"/>
  <c r="I468" i="10"/>
  <c r="M468" i="10" s="1"/>
  <c r="I469" i="10"/>
  <c r="M469" i="10" s="1"/>
  <c r="I470" i="10"/>
  <c r="I471" i="10"/>
  <c r="I472" i="10"/>
  <c r="I473" i="10"/>
  <c r="I474" i="10"/>
  <c r="I475" i="10"/>
  <c r="M475" i="10" s="1"/>
  <c r="I476" i="10"/>
  <c r="M476" i="10" s="1"/>
  <c r="I477" i="10"/>
  <c r="M477" i="10" s="1"/>
  <c r="I478" i="10"/>
  <c r="I479" i="10"/>
  <c r="I480" i="10"/>
  <c r="I481" i="10"/>
  <c r="I482" i="10"/>
  <c r="I483" i="10"/>
  <c r="M483" i="10" s="1"/>
  <c r="I484" i="10"/>
  <c r="M484" i="10" s="1"/>
  <c r="I485" i="10"/>
  <c r="M485" i="10" s="1"/>
  <c r="I486" i="10"/>
  <c r="I487" i="10"/>
  <c r="I488" i="10"/>
  <c r="I489" i="10"/>
  <c r="I490" i="10"/>
  <c r="I491" i="10"/>
  <c r="M491" i="10" s="1"/>
  <c r="I492" i="10"/>
  <c r="M492" i="10" s="1"/>
  <c r="I493" i="10"/>
  <c r="M493" i="10" s="1"/>
  <c r="I494" i="10"/>
  <c r="I495" i="10"/>
  <c r="I496" i="10"/>
  <c r="I497" i="10"/>
  <c r="I498" i="10"/>
  <c r="I499" i="10"/>
  <c r="M499" i="10" s="1"/>
  <c r="I500" i="10"/>
  <c r="M500" i="10" s="1"/>
  <c r="I501" i="10"/>
  <c r="M501" i="10" s="1"/>
  <c r="I502" i="10"/>
  <c r="I503" i="10"/>
  <c r="I504" i="10"/>
  <c r="I505" i="10"/>
  <c r="I506" i="10"/>
  <c r="I507" i="10"/>
  <c r="M507" i="10" s="1"/>
  <c r="I508" i="10"/>
  <c r="M508" i="10" s="1"/>
  <c r="I509" i="10"/>
  <c r="M509" i="10" s="1"/>
  <c r="I510" i="10"/>
  <c r="I511" i="10"/>
  <c r="I512" i="10"/>
  <c r="I513" i="10"/>
  <c r="I514" i="10"/>
  <c r="I515" i="10"/>
  <c r="M515" i="10" s="1"/>
  <c r="I516" i="10"/>
  <c r="M516" i="10" s="1"/>
  <c r="I517" i="10"/>
  <c r="M517" i="10" s="1"/>
  <c r="I518" i="10"/>
  <c r="I519" i="10"/>
  <c r="I520" i="10"/>
  <c r="I521" i="10"/>
  <c r="I522" i="10"/>
  <c r="I523" i="10"/>
  <c r="M523" i="10" s="1"/>
  <c r="I524" i="10"/>
  <c r="M524" i="10" s="1"/>
  <c r="I525" i="10"/>
  <c r="M525" i="10" s="1"/>
  <c r="I526" i="10"/>
  <c r="I527" i="10"/>
  <c r="I528" i="10"/>
  <c r="I529" i="10"/>
  <c r="I530" i="10"/>
  <c r="I531" i="10"/>
  <c r="M531" i="10" s="1"/>
  <c r="I532" i="10"/>
  <c r="M532" i="10" s="1"/>
  <c r="I533" i="10"/>
  <c r="M533" i="10" s="1"/>
  <c r="I534" i="10"/>
  <c r="I535" i="10"/>
  <c r="I536" i="10"/>
  <c r="I537" i="10"/>
  <c r="I538" i="10"/>
  <c r="I539" i="10"/>
  <c r="M539" i="10" s="1"/>
  <c r="I540" i="10"/>
  <c r="M540" i="10" s="1"/>
  <c r="I541" i="10"/>
  <c r="M541" i="10" s="1"/>
  <c r="I542" i="10"/>
  <c r="I543" i="10"/>
  <c r="I544" i="10"/>
  <c r="I545" i="10"/>
  <c r="I546" i="10"/>
  <c r="I547" i="10"/>
  <c r="M547" i="10" s="1"/>
  <c r="I548" i="10"/>
  <c r="M548" i="10" s="1"/>
  <c r="I549" i="10"/>
  <c r="M549" i="10" s="1"/>
  <c r="I550" i="10"/>
  <c r="I551" i="10"/>
  <c r="I2"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7" i="10"/>
  <c r="K518" i="10"/>
  <c r="K519" i="10"/>
  <c r="K520" i="10"/>
  <c r="K521" i="10"/>
  <c r="K522" i="10"/>
  <c r="K523" i="10"/>
  <c r="K524" i="10"/>
  <c r="K525" i="10"/>
  <c r="K526" i="10"/>
  <c r="K527" i="10"/>
  <c r="K528" i="10"/>
  <c r="K529" i="10"/>
  <c r="K530" i="10"/>
  <c r="K531" i="10"/>
  <c r="K532" i="10"/>
  <c r="K533" i="10"/>
  <c r="K534" i="10"/>
  <c r="K535" i="10"/>
  <c r="K536" i="10"/>
  <c r="K537" i="10"/>
  <c r="K538" i="10"/>
  <c r="K539" i="10"/>
  <c r="K540" i="10"/>
  <c r="K541" i="10"/>
  <c r="K542" i="10"/>
  <c r="K543" i="10"/>
  <c r="K544" i="10"/>
  <c r="K545" i="10"/>
  <c r="K546" i="10"/>
  <c r="K547" i="10"/>
  <c r="K548" i="10"/>
  <c r="K549" i="10"/>
  <c r="K550" i="10"/>
  <c r="K551" i="10"/>
  <c r="K2" i="10"/>
  <c r="J2" i="10"/>
  <c r="B6" i="9"/>
  <c r="B5" i="9"/>
  <c r="B4" i="9"/>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2" i="1"/>
  <c r="B3" i="9"/>
  <c r="B2" i="9"/>
  <c r="M546" i="10" l="1"/>
  <c r="M538" i="10"/>
  <c r="M522" i="10"/>
  <c r="M514" i="10"/>
  <c r="M506" i="10"/>
  <c r="M498" i="10"/>
  <c r="M490" i="10"/>
  <c r="M482" i="10"/>
  <c r="M474" i="10"/>
  <c r="M466" i="10"/>
  <c r="M458" i="10"/>
  <c r="M450" i="10"/>
  <c r="M442" i="10"/>
  <c r="M434" i="10"/>
  <c r="M426" i="10"/>
  <c r="M418" i="10"/>
  <c r="M410" i="10"/>
  <c r="M394" i="10"/>
  <c r="M386" i="10"/>
  <c r="M378" i="10"/>
  <c r="M370" i="10"/>
  <c r="M362" i="10"/>
  <c r="M354" i="10"/>
  <c r="M346" i="10"/>
  <c r="M338" i="10"/>
  <c r="M330" i="10"/>
  <c r="M322" i="10"/>
  <c r="M314" i="10"/>
  <c r="M306" i="10"/>
  <c r="M298" i="10"/>
  <c r="M290" i="10"/>
  <c r="M282" i="10"/>
  <c r="M274" i="10"/>
  <c r="M266" i="10"/>
  <c r="M258" i="10"/>
  <c r="M250" i="10"/>
  <c r="M242" i="10"/>
  <c r="M234" i="10"/>
  <c r="M226" i="10"/>
  <c r="M218" i="10"/>
  <c r="M210" i="10"/>
  <c r="M202" i="10"/>
  <c r="M194" i="10"/>
  <c r="M186" i="10"/>
  <c r="M178" i="10"/>
  <c r="M170" i="10"/>
  <c r="M162" i="10"/>
  <c r="M154" i="10"/>
  <c r="M146" i="10"/>
  <c r="M138" i="10"/>
  <c r="M130" i="10"/>
  <c r="M122" i="10"/>
  <c r="M114" i="10"/>
  <c r="M106" i="10"/>
  <c r="M98" i="10"/>
  <c r="M90" i="10"/>
  <c r="M82" i="10"/>
  <c r="M74" i="10"/>
  <c r="M66" i="10"/>
  <c r="M58" i="10"/>
  <c r="M50" i="10"/>
  <c r="M42" i="10"/>
  <c r="M34" i="10"/>
  <c r="M26" i="10"/>
  <c r="M18" i="10"/>
  <c r="M10" i="10"/>
  <c r="M505" i="10"/>
  <c r="M529" i="10"/>
  <c r="M144" i="10"/>
  <c r="M136" i="10"/>
  <c r="M128" i="10"/>
  <c r="M120" i="10"/>
  <c r="M112" i="10"/>
  <c r="M104" i="10"/>
  <c r="M96" i="10"/>
  <c r="M88" i="10"/>
  <c r="M80" i="10"/>
  <c r="M72" i="10"/>
  <c r="M64" i="10"/>
  <c r="M56" i="10"/>
  <c r="M48" i="10"/>
  <c r="M40" i="10"/>
  <c r="M530" i="10"/>
  <c r="M402" i="10"/>
  <c r="M441" i="10"/>
  <c r="M401" i="10"/>
  <c r="M2" i="10"/>
  <c r="M32" i="10"/>
  <c r="M24" i="10"/>
  <c r="M16" i="10"/>
  <c r="M8" i="10"/>
  <c r="M551" i="10"/>
  <c r="M543" i="10"/>
  <c r="M535" i="10"/>
  <c r="M527" i="10"/>
  <c r="M519" i="10"/>
  <c r="M511" i="10"/>
  <c r="M503" i="10"/>
  <c r="M495" i="10"/>
  <c r="M487" i="10"/>
  <c r="M479" i="10"/>
  <c r="M471" i="10"/>
  <c r="M463" i="10"/>
  <c r="M455" i="10"/>
  <c r="M447" i="10"/>
  <c r="M439" i="10"/>
  <c r="M431" i="10"/>
  <c r="M423" i="10"/>
  <c r="M415" i="10"/>
  <c r="M407" i="10"/>
  <c r="M399" i="10"/>
  <c r="M391" i="10"/>
  <c r="M383" i="10"/>
  <c r="M375" i="10"/>
  <c r="M367" i="10"/>
  <c r="M359" i="10"/>
  <c r="M351" i="10"/>
  <c r="M343" i="10"/>
  <c r="M335" i="10"/>
  <c r="M327" i="10"/>
  <c r="M319" i="10"/>
  <c r="M311" i="10"/>
  <c r="M303" i="10"/>
  <c r="M295" i="10"/>
  <c r="M287" i="10"/>
  <c r="M279" i="10"/>
  <c r="M271" i="10"/>
  <c r="M263" i="10"/>
  <c r="M255" i="10"/>
  <c r="M247" i="10"/>
  <c r="M239" i="10"/>
  <c r="M231" i="10"/>
  <c r="M223" i="10"/>
  <c r="M215" i="10"/>
  <c r="M207" i="10"/>
  <c r="M199" i="10"/>
  <c r="M191" i="10"/>
  <c r="M183" i="10"/>
  <c r="M175" i="10"/>
  <c r="M167" i="10"/>
  <c r="M159" i="10"/>
  <c r="M151" i="10"/>
  <c r="M143" i="10"/>
  <c r="M135" i="10"/>
  <c r="M127" i="10"/>
  <c r="M119" i="10"/>
  <c r="M111" i="10"/>
  <c r="M103" i="10"/>
  <c r="M95" i="10"/>
  <c r="M87" i="10"/>
  <c r="M79" i="10"/>
  <c r="M71" i="10"/>
  <c r="M63" i="10"/>
  <c r="M55" i="10"/>
  <c r="M47" i="10"/>
  <c r="M39" i="10"/>
  <c r="M31" i="10"/>
  <c r="M23" i="10"/>
  <c r="M15" i="10"/>
  <c r="M7" i="10"/>
  <c r="M550" i="10"/>
  <c r="M542" i="10"/>
  <c r="M534" i="10"/>
  <c r="M526" i="10"/>
  <c r="M518" i="10"/>
  <c r="M510" i="10"/>
  <c r="M502" i="10"/>
  <c r="M494" i="10"/>
  <c r="M486" i="10"/>
  <c r="M478" i="10"/>
  <c r="M470" i="10"/>
  <c r="M462" i="10"/>
  <c r="M454" i="10"/>
  <c r="M446" i="10"/>
  <c r="M438" i="10"/>
  <c r="M430" i="10"/>
  <c r="M422" i="10"/>
  <c r="M414" i="10"/>
  <c r="M406" i="10"/>
  <c r="M398" i="10"/>
  <c r="M390" i="10"/>
  <c r="M382" i="10"/>
  <c r="M374" i="10"/>
  <c r="M366" i="10"/>
  <c r="M358" i="10"/>
  <c r="M350" i="10"/>
  <c r="M342" i="10"/>
  <c r="M334" i="10"/>
  <c r="M326" i="10"/>
  <c r="M318" i="10"/>
  <c r="M310" i="10"/>
  <c r="M302" i="10"/>
  <c r="M294" i="10"/>
  <c r="M286" i="10"/>
  <c r="M278" i="10"/>
  <c r="M270" i="10"/>
  <c r="M262" i="10"/>
  <c r="M254" i="10"/>
  <c r="M246" i="10"/>
  <c r="M238" i="10"/>
  <c r="M230" i="10"/>
  <c r="M222" i="10"/>
  <c r="M214" i="10"/>
  <c r="M206" i="10"/>
  <c r="M198" i="10"/>
  <c r="M190" i="10"/>
  <c r="M182" i="10"/>
  <c r="M174" i="10"/>
  <c r="M166" i="10"/>
  <c r="M158" i="10"/>
  <c r="M150" i="10"/>
  <c r="M142" i="10"/>
  <c r="M134" i="10"/>
  <c r="M126" i="10"/>
  <c r="M118" i="10"/>
  <c r="M110" i="10"/>
  <c r="M102" i="10"/>
  <c r="M94" i="10"/>
  <c r="M86" i="10"/>
  <c r="M78" i="10"/>
  <c r="M70" i="10"/>
  <c r="M62" i="10"/>
  <c r="M54" i="10"/>
  <c r="M46" i="10"/>
  <c r="M38" i="10"/>
  <c r="M30" i="10"/>
  <c r="M22" i="10"/>
  <c r="M14" i="10"/>
  <c r="M6" i="10"/>
</calcChain>
</file>

<file path=xl/sharedStrings.xml><?xml version="1.0" encoding="utf-8"?>
<sst xmlns="http://schemas.openxmlformats.org/spreadsheetml/2006/main" count="7613" uniqueCount="1169">
  <si>
    <t>Customer Name</t>
  </si>
  <si>
    <t>State</t>
  </si>
  <si>
    <t>Product</t>
  </si>
  <si>
    <t>Units Sold</t>
  </si>
  <si>
    <t>Unit Price</t>
  </si>
  <si>
    <t>Total Sale</t>
  </si>
  <si>
    <t>Sale Date</t>
  </si>
  <si>
    <t>Sales Channel</t>
  </si>
  <si>
    <t>Order ID</t>
  </si>
  <si>
    <t>Online</t>
  </si>
  <si>
    <t>Allison Hill</t>
  </si>
  <si>
    <t>Lagos</t>
  </si>
  <si>
    <t>Headphones</t>
  </si>
  <si>
    <t>Wholesale</t>
  </si>
  <si>
    <t>4c636e95-025f-4543-8997-623ae0723d96</t>
  </si>
  <si>
    <t>Noah Rhodes</t>
  </si>
  <si>
    <t>Anambra</t>
  </si>
  <si>
    <t>Keyboard</t>
  </si>
  <si>
    <t>edaf3766-1b78-4ede-9a4f-fc0c9165f2ed</t>
  </si>
  <si>
    <t>Angie Henderson</t>
  </si>
  <si>
    <t>Delta</t>
  </si>
  <si>
    <t>74503887-48d9-4846-95c5-51fcfba57cc8</t>
  </si>
  <si>
    <t>Daniel Wagner</t>
  </si>
  <si>
    <t>Tablet</t>
  </si>
  <si>
    <t>8639bd41-8b15-4d94-a42d-0cd7fd359f6a</t>
  </si>
  <si>
    <t>Cristian Santos</t>
  </si>
  <si>
    <t>Oyo</t>
  </si>
  <si>
    <t>Camera</t>
  </si>
  <si>
    <t>Direct</t>
  </si>
  <si>
    <t>225aed6c-f045-4043-a3a6-8a707e710b55</t>
  </si>
  <si>
    <t>Connie Lawrence</t>
  </si>
  <si>
    <t>Rivers</t>
  </si>
  <si>
    <t>45d8a6ad-77d0-459e-8114-14f8d9df0d0e</t>
  </si>
  <si>
    <t>Abigail Shaffer</t>
  </si>
  <si>
    <t>Imo</t>
  </si>
  <si>
    <t>54a7b69b-1cd6-4b09-8f0e-6d2b315c167a</t>
  </si>
  <si>
    <t>Gina Moore</t>
  </si>
  <si>
    <t>Kano</t>
  </si>
  <si>
    <t>a5f60735-757b-4b29-bb2a-a1462999394c</t>
  </si>
  <si>
    <t>Gabrielle Davis</t>
  </si>
  <si>
    <t>039b058c-2faa-4e0b-b7f6-0cdf41dc1c60</t>
  </si>
  <si>
    <t>Ryan Munoz</t>
  </si>
  <si>
    <t>Niger</t>
  </si>
  <si>
    <t>4b86b5a1-ca6f-4ff8-964c-fbd2bc92fd81</t>
  </si>
  <si>
    <t>Monica Herrera</t>
  </si>
  <si>
    <t>Abuja</t>
  </si>
  <si>
    <t>Laptop</t>
  </si>
  <si>
    <t>Retail</t>
  </si>
  <si>
    <t>317304b5-c1dd-484a-aca5-8d95915a1c30</t>
  </si>
  <si>
    <t>Jamie Arnold</t>
  </si>
  <si>
    <t>a383889a-db2c-4ac8-9c67-83932ced3c0d</t>
  </si>
  <si>
    <t>6d7df5d0-d3b5-4af7-a7ce-378fe5a4983b</t>
  </si>
  <si>
    <t>Lisa Hensley</t>
  </si>
  <si>
    <t>Enugu</t>
  </si>
  <si>
    <t>Michele Williams</t>
  </si>
  <si>
    <t>Charger</t>
  </si>
  <si>
    <t>669d01ff-1634-425b-93f3-007383e96ef4</t>
  </si>
  <si>
    <t>Dylan Miller</t>
  </si>
  <si>
    <t>Bauchi</t>
  </si>
  <si>
    <t>fb4fb88a-2f4d-4219-986b-2880ab545a15</t>
  </si>
  <si>
    <t>Brian Ramirez</t>
  </si>
  <si>
    <t>Katsina</t>
  </si>
  <si>
    <t>ef9240b6-52d7-4f10-ba3a-6e9623ff23d3</t>
  </si>
  <si>
    <t>Holly Wood</t>
  </si>
  <si>
    <t>6231ee73-42c2-42eb-81bf-9e733f800385</t>
  </si>
  <si>
    <t>Derek Zuniga</t>
  </si>
  <si>
    <t>4459bd6e-c0f6-4229-b25d-42593c4b1eec</t>
  </si>
  <si>
    <t>Lisa Jackson</t>
  </si>
  <si>
    <t>951c25d5-4d4c-4280-9462-52e7f43ba052</t>
  </si>
  <si>
    <t>Carla Gray</t>
  </si>
  <si>
    <t>Monitor</t>
  </si>
  <si>
    <t>42f525b9-02ed-43ce-92a8-1713b90ed44b</t>
  </si>
  <si>
    <t>3c7e5368-b159-4847-9c0b-9b10a757cb10</t>
  </si>
  <si>
    <t>Patty Perez</t>
  </si>
  <si>
    <t>77242041-1e43-4bd2-aaf4-07f70fe76149</t>
  </si>
  <si>
    <t>Ethan Adams</t>
  </si>
  <si>
    <t>Ekiti</t>
  </si>
  <si>
    <t>afa28559-67c9-4204-a8e3-33b64e8adc4b</t>
  </si>
  <si>
    <t>Tommy Walter</t>
  </si>
  <si>
    <t>Plateau</t>
  </si>
  <si>
    <t>e346f415-e526-4a2b-ac50-ace480a52e65</t>
  </si>
  <si>
    <t>b0b6dedf-4f9c-4027-8514-4d98b41c504f</t>
  </si>
  <si>
    <t>Matthew Foster</t>
  </si>
  <si>
    <t>f0cd7f05-ea87-455e-a382-95d31e0ef546</t>
  </si>
  <si>
    <t>Judy Baker</t>
  </si>
  <si>
    <t>Kaduna</t>
  </si>
  <si>
    <t>Justin Baker</t>
  </si>
  <si>
    <t>3889936a-9d58-47e8-9e17-5b664b87959f</t>
  </si>
  <si>
    <t>Stephanie Ross</t>
  </si>
  <si>
    <t>Sokoto</t>
  </si>
  <si>
    <t>Phone</t>
  </si>
  <si>
    <t>7a6a2107-2231-4050-b515-94943818cfd3</t>
  </si>
  <si>
    <t>Zachary Hicks</t>
  </si>
  <si>
    <t>fd247c11-bf6b-4cdf-b479-7b6127372b52</t>
  </si>
  <si>
    <t>Anthony Rodriguez</t>
  </si>
  <si>
    <t>b3b26337-6a74-4bb7-9fa5-e0aa9b11b530</t>
  </si>
  <si>
    <t>Rebecca Henderson</t>
  </si>
  <si>
    <t>c1e1b94a-7888-4058-a9ad-0e9b8c9aa1e9</t>
  </si>
  <si>
    <t>James Ferrell</t>
  </si>
  <si>
    <t>d35ac07a-aa02-47d0-8d4f-8b2b899ac252</t>
  </si>
  <si>
    <t>Tricia Valencia</t>
  </si>
  <si>
    <t>ae2ae341-3f59-44f2-8309-3b6e37e9d2e2</t>
  </si>
  <si>
    <t>Nathan Maldonado</t>
  </si>
  <si>
    <t>c9912032-df85-4777-9887-4bfec1369c65</t>
  </si>
  <si>
    <t>Debra Davidson</t>
  </si>
  <si>
    <t>Benue</t>
  </si>
  <si>
    <t>87365a84-725e-434d-8687-9aa914f573d0</t>
  </si>
  <si>
    <t>Jeffrey Chavez</t>
  </si>
  <si>
    <t>ead08c89-13fe-4a29-9c9d-eee0b42a0456</t>
  </si>
  <si>
    <t>Osun</t>
  </si>
  <si>
    <t>d42a895e-0fcf-401f-9cb9-b73a906d5c8c</t>
  </si>
  <si>
    <t>Sherri Baker</t>
  </si>
  <si>
    <t>33c08bf1-8167-499f-a723-ada38c32bdb2</t>
  </si>
  <si>
    <t>Cassandra Gaines</t>
  </si>
  <si>
    <t>2a1f1b61-265c-49d9-8962-8f6e929c93b3</t>
  </si>
  <si>
    <t>Elizabeth Fowler</t>
  </si>
  <si>
    <t>Brittany Farmer</t>
  </si>
  <si>
    <t>711c7673-8535-4a69-9abf-984e53ff8461</t>
  </si>
  <si>
    <t>Paula Moreno</t>
  </si>
  <si>
    <t>b787ef8d-3495-411e-ae27-d4321dc1e7eb</t>
  </si>
  <si>
    <t>Fred Smith</t>
  </si>
  <si>
    <t>e61d9cde-1747-4387-bd23-d47995492a82</t>
  </si>
  <si>
    <t>Sherry Decker</t>
  </si>
  <si>
    <t>0e3e25f2-cf06-41c7-b20b-274b82a7f586</t>
  </si>
  <si>
    <t>Anthony Humphrey</t>
  </si>
  <si>
    <t>6a5943ce-8364-45e3-a1c7-1aa3741423b5</t>
  </si>
  <si>
    <t>Angelica Tucker</t>
  </si>
  <si>
    <t>8f0d5540-0ec7-4662-905c-7bdd74f0beae</t>
  </si>
  <si>
    <t>Philip Cannon</t>
  </si>
  <si>
    <t>4ee4334e-ce92-4136-ac3a-812f765e6cb5</t>
  </si>
  <si>
    <t>John Pierce</t>
  </si>
  <si>
    <t>Borno</t>
  </si>
  <si>
    <t>41241bb4-655c-4508-8592-bfa5b928e23f</t>
  </si>
  <si>
    <t>Shane Henderson</t>
  </si>
  <si>
    <t>37c86152-beed-4af9-80c5-9f30d1031424</t>
  </si>
  <si>
    <t>6c776e95-0b98-4ccd-92b2-102d940c3503</t>
  </si>
  <si>
    <t>Joshua Blair</t>
  </si>
  <si>
    <t>8a89b0f0-1052-41d3-b34c-6c7358330b30</t>
  </si>
  <si>
    <t>Eric Carney</t>
  </si>
  <si>
    <t>e4eb8000-ef40-4162-8f6c-e9bffe7ee362</t>
  </si>
  <si>
    <t>Jessica Holmes</t>
  </si>
  <si>
    <t>78d9a88a-ef0b-4a4f-bc73-7d9211ab3d11</t>
  </si>
  <si>
    <t>Danny Morgan</t>
  </si>
  <si>
    <t>Crystal Robinson</t>
  </si>
  <si>
    <t>2e13418d-68ab-40ea-897e-c6d1081fc6dc</t>
  </si>
  <si>
    <t>Mark Perez</t>
  </si>
  <si>
    <t>a43afb7a-c40d-4874-a2ab-7752c4db5a62</t>
  </si>
  <si>
    <t>Shannon Jones</t>
  </si>
  <si>
    <t>f6ba745b-a558-41e3-bab2-b77dfa740cc8</t>
  </si>
  <si>
    <t>Michael Lewis</t>
  </si>
  <si>
    <t>e42e707a-fe2b-4987-9fdc-abbf6b9cd71c</t>
  </si>
  <si>
    <t>Timothy Duncan</t>
  </si>
  <si>
    <t>eac80da1-de9f-4f5b-b2d3-545861ea2f30</t>
  </si>
  <si>
    <t>Richard Aguirre</t>
  </si>
  <si>
    <t>148b4376-602a-4e57-a0a3-99d4e821e716</t>
  </si>
  <si>
    <t>Brent Jordan</t>
  </si>
  <si>
    <t>dfe2c0a0-a96b-4c42-b6d2-2a7baec76a82</t>
  </si>
  <si>
    <t>John Daniel</t>
  </si>
  <si>
    <t>dc3bbdd8-a74e-42a9-a20b-9ea98a0f9508</t>
  </si>
  <si>
    <t>fe2b34d8-2db0-428d-9e5e-be5459077299</t>
  </si>
  <si>
    <t>Victoria Garcia</t>
  </si>
  <si>
    <t>2099d180-8762-4997-a49f-7d888989c5ab</t>
  </si>
  <si>
    <t>Gerald Hensley</t>
  </si>
  <si>
    <t>d5b6de85-3902-49d9-ba8d-ae42ba54e920</t>
  </si>
  <si>
    <t>Connor West</t>
  </si>
  <si>
    <t>fa7e5d94-05d1-4b63-8194-f97f00e3a026</t>
  </si>
  <si>
    <t>Donald Wright</t>
  </si>
  <si>
    <t>b8168aeb-ac6a-4c85-b687-6c624c61845e</t>
  </si>
  <si>
    <t>Jessica Callahan</t>
  </si>
  <si>
    <t>Amber Kidd</t>
  </si>
  <si>
    <t>6118433b-882c-4d1e-ac93-a7918b60c511</t>
  </si>
  <si>
    <t>Tracy House</t>
  </si>
  <si>
    <t>75eb89c2-3f5c-42f3-bacb-43a3d2c7bffb</t>
  </si>
  <si>
    <t>Carol Tucker</t>
  </si>
  <si>
    <t>3040413c-4690-4b15-a7b6-08dc589decb0</t>
  </si>
  <si>
    <t>James Brown</t>
  </si>
  <si>
    <t>c3f725fe-b99b-4b5a-a00d-a49deffa2002</t>
  </si>
  <si>
    <t>William Baker</t>
  </si>
  <si>
    <t>a902b73f-cf39-4648-883f-64c31ce362f8</t>
  </si>
  <si>
    <t>Jordan Henderson</t>
  </si>
  <si>
    <t>efad49e9-c41c-447e-9d6b-9b626b535a19</t>
  </si>
  <si>
    <t>Whitney Peters</t>
  </si>
  <si>
    <t>3d9c4e64-0401-4ced-a398-36bbe23ddfaa</t>
  </si>
  <si>
    <t>980cb95c-19d4-4deb-9139-fa1234c1c3ea</t>
  </si>
  <si>
    <t>Brittney Phillips</t>
  </si>
  <si>
    <t>ac09bdb7-9908-4e47-b249-f62c08987462</t>
  </si>
  <si>
    <t>Lauren Daniels</t>
  </si>
  <si>
    <t>3ea6e5b2-0c76-4d28-9f49-5037b40a9181</t>
  </si>
  <si>
    <t>Amy Silva</t>
  </si>
  <si>
    <t>705fddf5-66fa-4ca0-8b53-1932bd9419aa</t>
  </si>
  <si>
    <t>Sarah Moore</t>
  </si>
  <si>
    <t>c11f6bf5-379e-4467-8a2d-b2e63bfda8a6</t>
  </si>
  <si>
    <t>Angela Lopez</t>
  </si>
  <si>
    <t>23dfecd7-0e73-4dd7-86ac-1b04dd1d6cd1</t>
  </si>
  <si>
    <t>Megan Young</t>
  </si>
  <si>
    <t>Steve Sanchez</t>
  </si>
  <si>
    <t>3bf2025f-4a0d-4b73-be54-ee4b80ff5173</t>
  </si>
  <si>
    <t>Lisa Barnes</t>
  </si>
  <si>
    <t>937bf79b-bb44-4adc-aa98-fef8d0d75e37</t>
  </si>
  <si>
    <t>Kelly Donovan</t>
  </si>
  <si>
    <t>c5c51060-9911-41e7-93d5-63ae51a3ac26</t>
  </si>
  <si>
    <t>Mike Allen</t>
  </si>
  <si>
    <t>3ca5be29-5217-4bf3-9181-83d1ac2b0cfc</t>
  </si>
  <si>
    <t>Michael Evans</t>
  </si>
  <si>
    <t>fc568b53-24ac-4722-a052-77394d406f1b</t>
  </si>
  <si>
    <t>Paul Jones</t>
  </si>
  <si>
    <t>69df14e9-3896-41dd-8570-b59fa903ae67</t>
  </si>
  <si>
    <t>8e85140d-0f9a-4b70-8670-7cd64ceda164</t>
  </si>
  <si>
    <t>Zachary Ferrell</t>
  </si>
  <si>
    <t>bc36dc59-e134-4dfc-9777-7f10f2d2393f</t>
  </si>
  <si>
    <t>Daniel Baker</t>
  </si>
  <si>
    <t>adc29178-a041-4612-acd5-8759e95d2761</t>
  </si>
  <si>
    <t>Shirley Suarez</t>
  </si>
  <si>
    <t>Cross River</t>
  </si>
  <si>
    <t>0c00988a-7ee1-411a-8e4c-3ab56d5d0477</t>
  </si>
  <si>
    <t>Christopher Bass</t>
  </si>
  <si>
    <t>a4b05c89-f10b-4e9c-982b-91eef8e8035b</t>
  </si>
  <si>
    <t>Lisa Archer</t>
  </si>
  <si>
    <t>86433603-c92a-4d7c-a193-5990abdd1a8f</t>
  </si>
  <si>
    <t>Aimee Montoya</t>
  </si>
  <si>
    <t>6883ac6e-6a94-4054-b241-4482519894d8</t>
  </si>
  <si>
    <t>Matthew Mcmillan</t>
  </si>
  <si>
    <t>Brian Rodriguez</t>
  </si>
  <si>
    <t>2f12b150-605f-41eb-8cc5-7e0d26332018</t>
  </si>
  <si>
    <t>Denise Jacobs</t>
  </si>
  <si>
    <t>3db0174e-7938-478a-89b5-aab0c12169db</t>
  </si>
  <si>
    <t>Christina Walters</t>
  </si>
  <si>
    <t>db87d29c-4cfd-4fc1-b9b0-2e2ad96e684f</t>
  </si>
  <si>
    <t>John Whitehead</t>
  </si>
  <si>
    <t>7688d11f-ce47-48be-a4f4-3c62b523c0de</t>
  </si>
  <si>
    <t>Anna Henderson</t>
  </si>
  <si>
    <t>69a53b4f-8ff8-469d-8ec0-713dea2c7a51</t>
  </si>
  <si>
    <t>87ad8b26-8eaa-4841-aaa0-426df7c0d5f7</t>
  </si>
  <si>
    <t>Aaron Wise</t>
  </si>
  <si>
    <t>41476506-3e2b-49c9-a36f-6e5c2253e706</t>
  </si>
  <si>
    <t>Deborah Figueroa</t>
  </si>
  <si>
    <t>143df5b3-a58e-43dd-948c-1d84340de049</t>
  </si>
  <si>
    <t>Jessica Smith</t>
  </si>
  <si>
    <t>5efeef4f-d8dd-4bc0-b325-3aa3ec170298</t>
  </si>
  <si>
    <t>Stephen Mckee</t>
  </si>
  <si>
    <t>d453f867-b97e-4224-891f-691217abb863</t>
  </si>
  <si>
    <t>Sandra Aguilar</t>
  </si>
  <si>
    <t>608e149e-44b9-4602-8d31-812e30c36756</t>
  </si>
  <si>
    <t>Cameron Parker</t>
  </si>
  <si>
    <t>0a1fc9df-9a59-4974-9adf-4709ac75c344</t>
  </si>
  <si>
    <t>Rebecca Valencia</t>
  </si>
  <si>
    <t>cdfd9531-302b-4831-92a1-fe7ddfa59722</t>
  </si>
  <si>
    <t>Christine Wright</t>
  </si>
  <si>
    <t>Richard Henson</t>
  </si>
  <si>
    <t>abe42e7d-b96c-4163-966b-e275c2fe8954</t>
  </si>
  <si>
    <t>Marc Moore</t>
  </si>
  <si>
    <t>3579c143-7ab9-4428-b78e-65108f10d33e</t>
  </si>
  <si>
    <t>Sharon Cherry</t>
  </si>
  <si>
    <t>4d9dbaeb-553d-4625-a833-4da5de95d695</t>
  </si>
  <si>
    <t>Sierra Johnson</t>
  </si>
  <si>
    <t>363908bf-03ec-48ff-a8b3-d763f4ff3f3a</t>
  </si>
  <si>
    <t>bdd151b0-f64a-46ec-b0a5-648eefe9b3d0</t>
  </si>
  <si>
    <t>Evelyn Galvan</t>
  </si>
  <si>
    <t>c11bd1c4-ffe3-4366-bf33-7a151e086f20</t>
  </si>
  <si>
    <t>Sharon Cochran</t>
  </si>
  <si>
    <t>b2149062-3e1a-463e-aa18-d32c7a9a8ef5</t>
  </si>
  <si>
    <t>Richard Rodriguez</t>
  </si>
  <si>
    <t>6589ada1-345a-4934-b42a-2d939aba0f15</t>
  </si>
  <si>
    <t>Shannon Walker</t>
  </si>
  <si>
    <t>52555c75-8d55-419e-bd44-cb2cea45ba41</t>
  </si>
  <si>
    <t>Julia Torres</t>
  </si>
  <si>
    <t>775c30b5-6173-4c48-8876-9153c68813fe</t>
  </si>
  <si>
    <t>Crystal Johnson</t>
  </si>
  <si>
    <t>4ef4c34d-5bf8-4f3c-a612-9a1c889d4b76</t>
  </si>
  <si>
    <t>Garrett Lin</t>
  </si>
  <si>
    <t>e1fff6c0-8347-41da-9c11-ab6d42f5b3f5</t>
  </si>
  <si>
    <t>Diana May</t>
  </si>
  <si>
    <t>cd8563ca-193e-438d-b74c-0afa7f4d908c</t>
  </si>
  <si>
    <t>William Herrera</t>
  </si>
  <si>
    <t>Ashley Waller</t>
  </si>
  <si>
    <t>c2fa1da8-7830-4631-b8f0-188efb37afae</t>
  </si>
  <si>
    <t>Victor Baker</t>
  </si>
  <si>
    <t>340029c3-ea11-405b-91fa-cefad6f89f7a</t>
  </si>
  <si>
    <t>Jeffrey Chandler</t>
  </si>
  <si>
    <t>0bb401e7-69f7-43f1-901b-a8515ee68495</t>
  </si>
  <si>
    <t>bdc2b74b-38a5-4b49-9d34-aa1890019ed4</t>
  </si>
  <si>
    <t>Larry Dixon</t>
  </si>
  <si>
    <t>8da5d39b-42c2-4797-8426-fcc9255b30e2</t>
  </si>
  <si>
    <t>Kenneth Scott</t>
  </si>
  <si>
    <t>b852b3cd-9442-45e6-9583-1d58ef4c5119</t>
  </si>
  <si>
    <t>April Frost</t>
  </si>
  <si>
    <t>32399ffb-2704-4f25-8b91-b8cb6ae66582</t>
  </si>
  <si>
    <t>Michelle Harmon</t>
  </si>
  <si>
    <t>91ddb9bf-613d-4de9-bae2-802354720d2d</t>
  </si>
  <si>
    <t>Helen Jones</t>
  </si>
  <si>
    <t>8cf6e8b8-7fd2-48c3-bee8-2983d5574241</t>
  </si>
  <si>
    <t>Erin Edwards</t>
  </si>
  <si>
    <t>566a9ce7-af52-4b94-b186-e47aa7946320</t>
  </si>
  <si>
    <t>Michelle Evans</t>
  </si>
  <si>
    <t>7d1645a0-d253-4966-836b-9a0a41e02a89</t>
  </si>
  <si>
    <t>Jason Powell</t>
  </si>
  <si>
    <t>bd5609c4-a446-4663-b93b-17fbf76d15fd</t>
  </si>
  <si>
    <t>Cameron Fisher</t>
  </si>
  <si>
    <t>bb96f602-2b11-4c36-b5f8-e3a87d97ac0f</t>
  </si>
  <si>
    <t>Megan Orr</t>
  </si>
  <si>
    <t>Elizabeth Kelley</t>
  </si>
  <si>
    <t>23d4526b-2b54-4f7a-9a28-37b2cb8383f2</t>
  </si>
  <si>
    <t>Dustin Jordan</t>
  </si>
  <si>
    <t>2f1dc121-7d02-4c6d-8bea-75c1b86677aa</t>
  </si>
  <si>
    <t>fd85d7fa-8ac9-4b01-a3ad-64d4eab9eb02</t>
  </si>
  <si>
    <t>Mary Marshall</t>
  </si>
  <si>
    <t>862138ad-0f09-405c-b50d-7a37a44d9fec</t>
  </si>
  <si>
    <t>Daniel Kennedy</t>
  </si>
  <si>
    <t>13075157-d8c1-48e7-96cd-315508a8ac7f</t>
  </si>
  <si>
    <t>Rebecca Jackson</t>
  </si>
  <si>
    <t>0c6b7074-ab10-4c9b-9168-2e09f1f7d904</t>
  </si>
  <si>
    <t>Jose Schultz</t>
  </si>
  <si>
    <t>2332a50e-6992-496e-81a2-5ed1c3abb5f1</t>
  </si>
  <si>
    <t>Robert Potter</t>
  </si>
  <si>
    <t>116658ce-3b3f-4800-a175-a9c3d7b102a9</t>
  </si>
  <si>
    <t>Courtney Gonzalez</t>
  </si>
  <si>
    <t>37fe032c-0257-4851-a6a9-e100b509109b</t>
  </si>
  <si>
    <t>David Alvarez</t>
  </si>
  <si>
    <t>0f79a8a7-5f8a-44bd-b4bd-0c938177b661</t>
  </si>
  <si>
    <t>Angel Perry</t>
  </si>
  <si>
    <t>ef145064-aab0-4015-a342-2e509e2a7324</t>
  </si>
  <si>
    <t>Cheyenne Horton</t>
  </si>
  <si>
    <t>a8c6dbc0-7bb3-447b-a9aa-144b9dd43675</t>
  </si>
  <si>
    <t>David Douglas Jr.</t>
  </si>
  <si>
    <t>883f13c6-01b1-48e9-8406-ff447ce40679</t>
  </si>
  <si>
    <t>Patricia Rodriguez</t>
  </si>
  <si>
    <t>Christopher Rubio</t>
  </si>
  <si>
    <t>04482a22-0308-4a5e-a94d-7b008d388327</t>
  </si>
  <si>
    <t>892621df-4655-48b7-b8e1-9f568787ea21</t>
  </si>
  <si>
    <t>Amber Wright</t>
  </si>
  <si>
    <t>80913ac1-0463-450e-8964-6b96fa3c1628</t>
  </si>
  <si>
    <t>Joyce Solis</t>
  </si>
  <si>
    <t>6e3a0ba8-ac8d-4c7d-b2a6-e468d02b1243</t>
  </si>
  <si>
    <t>Victoria Larson</t>
  </si>
  <si>
    <t>2de46e91-e8e6-4840-b090-f5a0ce610199</t>
  </si>
  <si>
    <t>Stephanie Salazar</t>
  </si>
  <si>
    <t>863e1f2a-18a8-46ef-ab05-3fc41b656dab</t>
  </si>
  <si>
    <t>Kathy Rivas</t>
  </si>
  <si>
    <t>9ea9f508-3122-4592-bdb0-2235261e2555</t>
  </si>
  <si>
    <t>Stephanie Manning</t>
  </si>
  <si>
    <t>5abca6e5-d0b1-43eb-809e-7a8086c5d1d6</t>
  </si>
  <si>
    <t>David Wright</t>
  </si>
  <si>
    <t>143a9aff-659b-4105-8b80-f288446f64dd</t>
  </si>
  <si>
    <t>Pamela Boyd</t>
  </si>
  <si>
    <t>7580e050-67f1-498c-b594-8a545f804eeb</t>
  </si>
  <si>
    <t>Denise Jones</t>
  </si>
  <si>
    <t>b27e1442-fd7f-4973-be42-df5b90a3fbbf</t>
  </si>
  <si>
    <t>Devon Flores</t>
  </si>
  <si>
    <t>d3fbe043-af1d-4a1a-8ccb-235539d1c7ff</t>
  </si>
  <si>
    <t>Brenda Hall</t>
  </si>
  <si>
    <t>fdde64af-a75b-495a-94a3-4f7fd90dd19b</t>
  </si>
  <si>
    <t>Michelle Brown</t>
  </si>
  <si>
    <t>081c79d4-c274-47eb-a65f-7b8adbb44021</t>
  </si>
  <si>
    <t>Joshua Perry</t>
  </si>
  <si>
    <t>608e2f5c-6117-4270-a7c0-518b17efa621</t>
  </si>
  <si>
    <t>Jason Stein</t>
  </si>
  <si>
    <t>a301ec03-0e5d-4c6a-b9db-78628d7dd772</t>
  </si>
  <si>
    <t>Melissa Gates</t>
  </si>
  <si>
    <t>152aeaec-2bdf-4b41-b3ed-a8f1026b5383</t>
  </si>
  <si>
    <t>Jamie Smith</t>
  </si>
  <si>
    <t>a518a418-6f14-43f6-9867-888b7ff6b824</t>
  </si>
  <si>
    <t>Paul Castaneda</t>
  </si>
  <si>
    <t>fa323f69-90db-4ad6-94ce-26bec8cce2c2</t>
  </si>
  <si>
    <t>Jennifer Adkins</t>
  </si>
  <si>
    <t>e5110961-1869-4217-b94d-8fcbdba3496f</t>
  </si>
  <si>
    <t>Lindsey Walker</t>
  </si>
  <si>
    <t>3ad1fa33-0ae4-4c11-ab4d-8f42873570a2</t>
  </si>
  <si>
    <t>Jeffrey Johnson</t>
  </si>
  <si>
    <t>b139c476-de3c-488b-a6b9-d31a361f6d90</t>
  </si>
  <si>
    <t>Michael Powell</t>
  </si>
  <si>
    <t>45667c48-79ba-430a-9118-c400e336c243</t>
  </si>
  <si>
    <t>John Anderson</t>
  </si>
  <si>
    <t>af36b8cc-1308-4974-ac95-b3ac0beb7c34</t>
  </si>
  <si>
    <t>Alyssa Long</t>
  </si>
  <si>
    <t>8b040f53-e639-49d4-87c6-8688ecf32053</t>
  </si>
  <si>
    <t>Alyssa Day</t>
  </si>
  <si>
    <t>2dea2d2d-086c-405f-a879-d8f890422eb7</t>
  </si>
  <si>
    <t>Joel Williams</t>
  </si>
  <si>
    <t>04022b3c-5082-41a5-99b5-9f84edc3a1c3</t>
  </si>
  <si>
    <t>Daniel Murphy</t>
  </si>
  <si>
    <t>24e9bcfd-9647-4f9f-b508-507af622d842</t>
  </si>
  <si>
    <t>Jamie Walton</t>
  </si>
  <si>
    <t>d226a8b3-b674-410d-9218-c9d6c093bfb0</t>
  </si>
  <si>
    <t>Darlene Miller</t>
  </si>
  <si>
    <t>4c9d6907-13b2-4cec-adca-bf9465f6ba53</t>
  </si>
  <si>
    <t>Joshua Cooke</t>
  </si>
  <si>
    <t>9112fbc0-3d8f-45f4-905f-9096299656e2</t>
  </si>
  <si>
    <t>Matthew Harrington</t>
  </si>
  <si>
    <t>ad5229dd-639f-4471-9975-0f00d5aba8ae</t>
  </si>
  <si>
    <t>Nicole Herring</t>
  </si>
  <si>
    <t>6243bed7-54ec-4f33-8a62-4cbde582b678</t>
  </si>
  <si>
    <t>Alex Hernandez</t>
  </si>
  <si>
    <t>ca5e151b-23d3-4d4c-bd5f-f093c16f9bcc</t>
  </si>
  <si>
    <t>Michael Elliott</t>
  </si>
  <si>
    <t>1413d64d-b962-48a7-b076-a7dcfd0ce433</t>
  </si>
  <si>
    <t>Michael Wang</t>
  </si>
  <si>
    <t>588a3f87-f96d-40f8-bed6-3da08033f5c2</t>
  </si>
  <si>
    <t>Lawrence Adkins</t>
  </si>
  <si>
    <t>3b6dca0d-6fe5-440b-9901-ef870dbf0caf</t>
  </si>
  <si>
    <t>Robert Oconnell</t>
  </si>
  <si>
    <t>9aec56a8-5731-4609-9375-ee90d6b361e4</t>
  </si>
  <si>
    <t>9879cf35-f471-4986-9d26-4599c4dd8df5</t>
  </si>
  <si>
    <t>Alexander Collins</t>
  </si>
  <si>
    <t>Tina Sanders</t>
  </si>
  <si>
    <t>538d6b8c-c607-41e9-b80b-2cea658e54a2</t>
  </si>
  <si>
    <t>Angela Vaughn</t>
  </si>
  <si>
    <t>c8969c5b-45f8-428d-a255-e1bb07958c1f</t>
  </si>
  <si>
    <t>Ashley Barton</t>
  </si>
  <si>
    <t>3a67470c-7d98-402f-b357-41e5fe1a1ba9</t>
  </si>
  <si>
    <t>Lindsay Martinez</t>
  </si>
  <si>
    <t>601bfbcb-f0ee-4cce-8d93-e14a5b167158</t>
  </si>
  <si>
    <t>Dr. Hannah Patterson</t>
  </si>
  <si>
    <t>95fbe976-ae00-4b7e-af8c-83e56e8d9644</t>
  </si>
  <si>
    <t>Jonathan Peterson</t>
  </si>
  <si>
    <t>c5acc354-15f0-4cb4-a14c-721da921cb4c</t>
  </si>
  <si>
    <t>Samantha Garcia</t>
  </si>
  <si>
    <t>3f175534-cc4d-4819-8b9d-fd589e5d9c7a</t>
  </si>
  <si>
    <t>Madison Poole</t>
  </si>
  <si>
    <t>4499d0a6-1500-4170-92d1-5585b68e47fa</t>
  </si>
  <si>
    <t>Jessica Gross</t>
  </si>
  <si>
    <t>c8ad0899-b630-494d-a147-adeb277b0667</t>
  </si>
  <si>
    <t>Debra Morton</t>
  </si>
  <si>
    <t>63be441d-bd5a-4c9e-a77e-b0aaa247541d</t>
  </si>
  <si>
    <t>Karen Graham</t>
  </si>
  <si>
    <t>176de21f-1b46-4bdc-9c56-d9bc5111d31d</t>
  </si>
  <si>
    <t>71da35b9-4eea-4db8-b165-d77901547950</t>
  </si>
  <si>
    <t>Debra Christian</t>
  </si>
  <si>
    <t>1a2bd69c-450f-49ee-82e7-9a985c238d8d</t>
  </si>
  <si>
    <t>Angelica Keith</t>
  </si>
  <si>
    <t>John Bishop</t>
  </si>
  <si>
    <t>6e54ac6d-2ff8-487e-9659-1c8921ebfaa9</t>
  </si>
  <si>
    <t>Allen Rosales</t>
  </si>
  <si>
    <t>832f52c4-8e03-40cf-8e96-922772e76b51</t>
  </si>
  <si>
    <t>Daniel Salinas</t>
  </si>
  <si>
    <t>16f142a2-06b9-49aa-9a71-67c768759545</t>
  </si>
  <si>
    <t>Spencer Haynes</t>
  </si>
  <si>
    <t>98d00c2c-17d3-4f32-8de1-596c5a9a206a</t>
  </si>
  <si>
    <t>Adam Vaughan</t>
  </si>
  <si>
    <t>dd1ca267-530d-4da6-88d0-f9e5991965ea</t>
  </si>
  <si>
    <t>Nathan Freeman</t>
  </si>
  <si>
    <t>69ef74e3-4ab6-421c-8328-c136629ef3d8</t>
  </si>
  <si>
    <t>Melissa Brewer</t>
  </si>
  <si>
    <t>b98f5dbe-15ae-4e0f-8777-a07f6346d4ef</t>
  </si>
  <si>
    <t>fe2390f3-e7bb-4efc-8f3d-c97fe6b0da0a</t>
  </si>
  <si>
    <t>Elizabeth Perkins</t>
  </si>
  <si>
    <t>85671b58-926b-4fa5-be24-5fbffa698cd2</t>
  </si>
  <si>
    <t>Joseph Coleman</t>
  </si>
  <si>
    <t>2b64777c-6177-4771-af70-de702b69c95e</t>
  </si>
  <si>
    <t>44b64ec1-4d16-4049-84d7-df9a238b05b7</t>
  </si>
  <si>
    <t>Erin Warner</t>
  </si>
  <si>
    <t>2ace1aa9-1032-46b3-a55b-fc1c7e3d5ee4</t>
  </si>
  <si>
    <t>David Martinez</t>
  </si>
  <si>
    <t>4cbc9044-6bcd-4ce7-86a5-6fe86f46f1b1</t>
  </si>
  <si>
    <t>Bryan Herrera</t>
  </si>
  <si>
    <t>Cathy Robinson</t>
  </si>
  <si>
    <t>5c72aebd-13b1-4e59-885c-d7147bf69552</t>
  </si>
  <si>
    <t>Dr. William Warren</t>
  </si>
  <si>
    <t>b88cddde-3f20-46c2-b1b8-8d65406f64d6</t>
  </si>
  <si>
    <t>Brian Lee</t>
  </si>
  <si>
    <t>9dde0188-9803-422e-beec-e88da002352a</t>
  </si>
  <si>
    <t>Christopher Smith</t>
  </si>
  <si>
    <t>22af711f-1b62-4a9d-b536-6b9f320f72c0</t>
  </si>
  <si>
    <t>Denise Mccann</t>
  </si>
  <si>
    <t>654c11d9-f2e6-4828-81bb-819c4dfe1117</t>
  </si>
  <si>
    <t>Melissa Martinez</t>
  </si>
  <si>
    <t>614077d3-9ec4-4a48-9773-f98d550c2fe9</t>
  </si>
  <si>
    <t>Katherine Salas</t>
  </si>
  <si>
    <t>70b27304-545c-488d-9cb9-075ecdd7f460</t>
  </si>
  <si>
    <t>Julie Alexander</t>
  </si>
  <si>
    <t>d2d33488-d0c3-4018-ae3c-dd4f55b145e4</t>
  </si>
  <si>
    <t>Anthony Everett</t>
  </si>
  <si>
    <t>982a2277-f966-459f-a6aa-59e5dc08bf29</t>
  </si>
  <si>
    <t>9a6c0db9-5217-4c88-8ce9-53a722d90db3</t>
  </si>
  <si>
    <t>Rodney Morales</t>
  </si>
  <si>
    <t>7aa061e9-336b-40cb-b1fe-ad13f280df1d</t>
  </si>
  <si>
    <t>Mark Brown</t>
  </si>
  <si>
    <t>65f30779-f6ee-4cdb-ad79-a2d1506e50c7</t>
  </si>
  <si>
    <t>Justin Torres</t>
  </si>
  <si>
    <t>bc20b9f2-4a9c-489e-91b3-0182f7fe604f</t>
  </si>
  <si>
    <t>Courtney Mills</t>
  </si>
  <si>
    <t>f7bf5244-7db2-47aa-a205-e54fb1e8c09d</t>
  </si>
  <si>
    <t>Jeremy Dalton</t>
  </si>
  <si>
    <t>536d47d7-3e0f-44ce-882f-78fd936cd31c</t>
  </si>
  <si>
    <t>c92e8c93-d105-48d6-87c1-c01760452909</t>
  </si>
  <si>
    <t>Theresa Clark</t>
  </si>
  <si>
    <t>ee9bf3e1-1d27-409a-9d71-a89864976593</t>
  </si>
  <si>
    <t>Matthew Moore</t>
  </si>
  <si>
    <t>ff4cc10f-979c-40cf-b326-1887905881df</t>
  </si>
  <si>
    <t>Benjamin Smith</t>
  </si>
  <si>
    <t>c4829b71-ae84-481c-ae0f-b5b38bae591e</t>
  </si>
  <si>
    <t>Kirk Carter</t>
  </si>
  <si>
    <t>ba2aa7ba-f3f8-4c31-86e3-f9498cd34c62</t>
  </si>
  <si>
    <t>Michael Warner</t>
  </si>
  <si>
    <t>35ab8466-b557-4b00-b166-cdcf762cdfbc</t>
  </si>
  <si>
    <t>d4cee27c-4a94-4e9f-8c35-1e4f703e957f</t>
  </si>
  <si>
    <t>Michael Bradshaw</t>
  </si>
  <si>
    <t>d908a121-d1a7-4a20-91b4-61e9b15da72d</t>
  </si>
  <si>
    <t>Lori Guerrero</t>
  </si>
  <si>
    <t>ac484366-68bd-40d7-8b88-1c32cbb02a8b</t>
  </si>
  <si>
    <t>Jessica Stephens</t>
  </si>
  <si>
    <t>4d8670bd-a222-4f96-a3a1-3e207fd255ee</t>
  </si>
  <si>
    <t>Susan Serrano</t>
  </si>
  <si>
    <t>2775ee42-a89e-42f2-80af-bf3f3df51967</t>
  </si>
  <si>
    <t>Christopher Parker</t>
  </si>
  <si>
    <t>Laura Roberts</t>
  </si>
  <si>
    <t>6082786f-ca00-4f58-ac52-1d13b719bb68</t>
  </si>
  <si>
    <t>Michael Lyons</t>
  </si>
  <si>
    <t>9912316a-fd9e-4e20-b2f6-095812ef6101</t>
  </si>
  <si>
    <t>Kathryn Snyder</t>
  </si>
  <si>
    <t>88cc4d49-669b-49b8-950d-f1a07aaf2001</t>
  </si>
  <si>
    <t>Andrew Reynolds</t>
  </si>
  <si>
    <t>dea050c6-eb9e-4274-ac6a-37ad81b15db9</t>
  </si>
  <si>
    <t>David Davis</t>
  </si>
  <si>
    <t>09697101-8b2c-450a-ab15-c11bb113d50b</t>
  </si>
  <si>
    <t>Sara Johnston</t>
  </si>
  <si>
    <t>b39e4df2-5c0a-4feb-b7ea-e66eca6caf9b</t>
  </si>
  <si>
    <t>Yvonne Chambers</t>
  </si>
  <si>
    <t>98049562-8972-4bbd-8ff2-b1c4e53f9644</t>
  </si>
  <si>
    <t>1bffa279-15c1-404f-aa16-3354a35fc9c1</t>
  </si>
  <si>
    <t>Andrew Avila</t>
  </si>
  <si>
    <t>aa2960fd-a858-44df-bf8c-1097c4da2c2e</t>
  </si>
  <si>
    <t>Matthew Moon</t>
  </si>
  <si>
    <t>9cd8758b-a5a1-4825-aa95-28c35ae1dbad</t>
  </si>
  <si>
    <t>Kevin Walters</t>
  </si>
  <si>
    <t>a520c3d0-fbcd-4f5e-902f-34650b570720</t>
  </si>
  <si>
    <t>f780ef2f-664d-4922-a590-fd3cad6ecc57</t>
  </si>
  <si>
    <t>Shannon Rivera</t>
  </si>
  <si>
    <t>cbd5cc86-f739-46e9-94e3-8579c0afd193</t>
  </si>
  <si>
    <t>Donna Landry</t>
  </si>
  <si>
    <t>Krista Gibson</t>
  </si>
  <si>
    <t>193e4783-02b3-4254-9b1f-2eb16e3255a8</t>
  </si>
  <si>
    <t>Frank Cordova</t>
  </si>
  <si>
    <t>bf31c29f-82bb-4d84-b8d5-101f423cad9d</t>
  </si>
  <si>
    <t>Jose Travis</t>
  </si>
  <si>
    <t>b00ac64c-949c-48d4-8ed8-a80d84cfee39</t>
  </si>
  <si>
    <t>Kimberly Gutierrez</t>
  </si>
  <si>
    <t>5fc64cd0-721e-4b1f-b895-89399342a09f</t>
  </si>
  <si>
    <t>Isaiah Avila</t>
  </si>
  <si>
    <t>adf75924-c5b8-486b-b68b-4f7e64215e66</t>
  </si>
  <si>
    <t>Olivia Harris</t>
  </si>
  <si>
    <t>2697384d-801e-4690-b0c0-7fcc96add4df</t>
  </si>
  <si>
    <t>7b96e2d1-0649-4cf6-bf69-723d584fc85b</t>
  </si>
  <si>
    <t>Tanya Kim</t>
  </si>
  <si>
    <t>eba900e1-6a7d-4d96-8ba1-72331ac3bf31</t>
  </si>
  <si>
    <t>Barbara Dudley</t>
  </si>
  <si>
    <t>d4d13d55-1db6-4844-95fa-9483f633cc2d</t>
  </si>
  <si>
    <t>Cynthia Moore</t>
  </si>
  <si>
    <t>592c1107-2444-4301-baeb-286bf0d0270f</t>
  </si>
  <si>
    <t>Kristen Davis</t>
  </si>
  <si>
    <t>c8c5eb2a-7490-4deb-97d3-37d34fd80bbb</t>
  </si>
  <si>
    <t>592a3549-7ba1-49d0-8567-c80534f541c0</t>
  </si>
  <si>
    <t>Kathleen Moran</t>
  </si>
  <si>
    <t>b8d49848-702b-449f-98fd-d2b979e5c9aa</t>
  </si>
  <si>
    <t>Denise Davenport</t>
  </si>
  <si>
    <t>Mrs. Kristen Reyes</t>
  </si>
  <si>
    <t>1132567c-51a4-4d2a-b3d3-9457b25f13df</t>
  </si>
  <si>
    <t>Katie Suarez</t>
  </si>
  <si>
    <t>b5f59cb0-cf68-4878-8b70-59334cde1b6b</t>
  </si>
  <si>
    <t>Desiree Tyler</t>
  </si>
  <si>
    <t>57d3f4dd-d963-4c72-85c8-234b1d763a66</t>
  </si>
  <si>
    <t>Timothy Romero</t>
  </si>
  <si>
    <t>ccd015c1-ad59-40dd-9bff-3142a5e15b55</t>
  </si>
  <si>
    <t>Diane Evans</t>
  </si>
  <si>
    <t>bd90b81a-fbe0-46b8-ae0f-65a82a131c1f</t>
  </si>
  <si>
    <t>8d49fe3f-2ca8-4783-8418-2d353e711433</t>
  </si>
  <si>
    <t>Yvonne Burns</t>
  </si>
  <si>
    <t>6d268b37-8f52-42d3-94bb-bcf828fea761</t>
  </si>
  <si>
    <t>Joshua Reed</t>
  </si>
  <si>
    <t>cc39b925-3b5a-4288-b649-2e64f55dce6d</t>
  </si>
  <si>
    <t>Kimberly Gibson</t>
  </si>
  <si>
    <t>2fb70dab-2f38-4b43-a137-f8e467b13040</t>
  </si>
  <si>
    <t>Colin Terry</t>
  </si>
  <si>
    <t>6544e313-6ea0-4d13-a845-54c3a3f66c61</t>
  </si>
  <si>
    <t>Cynthia Rowe</t>
  </si>
  <si>
    <t>e212ab7c-9d36-4cb6-bcc5-7be00779250a</t>
  </si>
  <si>
    <t>Patrick Thornton</t>
  </si>
  <si>
    <t>6df72cd3-979a-4051-b317-591a3283daa4</t>
  </si>
  <si>
    <t>Jasmin Alvarado</t>
  </si>
  <si>
    <t>36fce0ac-b469-4db3-8123-a348638abdf6</t>
  </si>
  <si>
    <t>Veronica Simpson</t>
  </si>
  <si>
    <t>Jonathan Lawrence</t>
  </si>
  <si>
    <t>b4299924-c098-4750-8741-9b4834ae4abd</t>
  </si>
  <si>
    <t>Shelly Alexander</t>
  </si>
  <si>
    <t>93cd1291-1004-4d82-8bc7-2f1acf08ea54</t>
  </si>
  <si>
    <t>Joyce Bowen</t>
  </si>
  <si>
    <t>89718eea-df3a-498a-8cac-2fb51a0c6c04</t>
  </si>
  <si>
    <t>327375bf-5373-4f4d-9da4-9cb92fdc9992</t>
  </si>
  <si>
    <t>abb316a7-4329-4780-9d2c-272175220646</t>
  </si>
  <si>
    <t>Wayne Morgan</t>
  </si>
  <si>
    <t>f7464c02-8718-44c1-bd4e-d26edcd5bfae</t>
  </si>
  <si>
    <t>Marie Christian</t>
  </si>
  <si>
    <t>637ddcd6-98d3-448b-903b-4078a39c9ec6</t>
  </si>
  <si>
    <t>Shannon James</t>
  </si>
  <si>
    <t>1d3e503a-9645-40e4-a47d-c3929c7eb575</t>
  </si>
  <si>
    <t>Nathan Malone</t>
  </si>
  <si>
    <t>753659ef-d873-4ad9-9a1b-af0e591196dc</t>
  </si>
  <si>
    <t>Amanda Jones</t>
  </si>
  <si>
    <t>ac7051d1-d051-467f-ac2a-c34b9e0b7b01</t>
  </si>
  <si>
    <t>Tammie Bright</t>
  </si>
  <si>
    <t>eb2ec80e-4c25-4823-8cf4-ffb0b4bba73f</t>
  </si>
  <si>
    <t>Jessica Garcia</t>
  </si>
  <si>
    <t>ac0f6801-15b2-4e1d-9715-46339d4edb71</t>
  </si>
  <si>
    <t>Shelia Wallace</t>
  </si>
  <si>
    <t>3d131a3d-1e2c-4e7d-902c-f0ee224a66a6</t>
  </si>
  <si>
    <t>Stephanie Williams</t>
  </si>
  <si>
    <t>Elaine Brooks</t>
  </si>
  <si>
    <t>5f90fc87-2edc-417e-9df0-5d184e2d6255</t>
  </si>
  <si>
    <t>Joseph Knight</t>
  </si>
  <si>
    <t>63725424-82c5-4b21-a430-12dab1850eb8</t>
  </si>
  <si>
    <t>Carolyn Miller</t>
  </si>
  <si>
    <t>93267d25-234b-4562-98af-5cca6b11b7cb</t>
  </si>
  <si>
    <t>7c966b55-2f8d-4ded-ac4c-450b623ad0fc</t>
  </si>
  <si>
    <t>Lisa Allen</t>
  </si>
  <si>
    <t>eb4e2281-b184-41fc-8991-b01aa2b03c4b</t>
  </si>
  <si>
    <t>Briana Murray</t>
  </si>
  <si>
    <t>2c591da8-fff9-4acf-ae42-05eea52fc3ec</t>
  </si>
  <si>
    <t>David Smith</t>
  </si>
  <si>
    <t>49f1137d-7d59-4e19-aab7-b2ef8e0ec033</t>
  </si>
  <si>
    <t>Stephanie Byrd</t>
  </si>
  <si>
    <t>d78c57d3-5088-40d3-afe5-b14023ea7956</t>
  </si>
  <si>
    <t>Jeremy Reed</t>
  </si>
  <si>
    <t>dd92dd7c-0db9-47a9-9e91-a71c7374ccbf</t>
  </si>
  <si>
    <t>Margaret Coleman</t>
  </si>
  <si>
    <t>7c0f549d-0274-4f73-b3ab-ea0d5be9fdb3</t>
  </si>
  <si>
    <t>Ryan Gonzalez</t>
  </si>
  <si>
    <t>624a2a50-d0b1-4de0-b1f3-f0c022f3f068</t>
  </si>
  <si>
    <t>John Young</t>
  </si>
  <si>
    <t>a72f947d-8164-42cb-8fc3-d7d3f6bd80c7</t>
  </si>
  <si>
    <t>Laura Haney</t>
  </si>
  <si>
    <t>7de1bf5d-af48-47f0-a8bd-075b7eb6581e</t>
  </si>
  <si>
    <t>William Barrett</t>
  </si>
  <si>
    <t>Keith Jennings</t>
  </si>
  <si>
    <t>71a0449d-d703-462f-b5cb-e3f56a66c184</t>
  </si>
  <si>
    <t>Amber Obrien</t>
  </si>
  <si>
    <t>90bde900-1529-46f5-aad1-1fe87d1b695e</t>
  </si>
  <si>
    <t>38749f3c-c2d4-4b56-8bbe-d98007e67cb0</t>
  </si>
  <si>
    <t>398f569b-465c-42cb-885e-b4894ac66780</t>
  </si>
  <si>
    <t>Heather Fields</t>
  </si>
  <si>
    <t>c7de96ea-2b0f-4e44-89e6-4c2289a0b7eb</t>
  </si>
  <si>
    <t>Megan Le</t>
  </si>
  <si>
    <t>c5c5ae8a-be15-4d12-90ce-77e9751303b9</t>
  </si>
  <si>
    <t>Sara Fuller</t>
  </si>
  <si>
    <t>82c42e48-8cba-4ae5-becc-daf4c4134dc2</t>
  </si>
  <si>
    <t>Maria Parker</t>
  </si>
  <si>
    <t>44945e09-1d3c-45a4-929d-63771cfb655f</t>
  </si>
  <si>
    <t>Kevin Oconnor</t>
  </si>
  <si>
    <t>fdab3441-d2c2-4960-8b09-01abc66dceb3</t>
  </si>
  <si>
    <t>Edward Burgess</t>
  </si>
  <si>
    <t>c1bcbe59-d296-412d-8ac3-5ac45deaa737</t>
  </si>
  <si>
    <t>Carlos Ryan</t>
  </si>
  <si>
    <t>70fd6672-b80f-46c5-828f-a16b0aa6fcb9</t>
  </si>
  <si>
    <t>Kiara Mcintyre</t>
  </si>
  <si>
    <t>6cd6f011-fd61-413b-b7f2-5d368bddcee3</t>
  </si>
  <si>
    <t>Dawn Summers</t>
  </si>
  <si>
    <t>a757075b-d47f-43b1-bc69-c1551a37f6bd</t>
  </si>
  <si>
    <t>Dr. Paul Morgan</t>
  </si>
  <si>
    <t>Victor Taylor</t>
  </si>
  <si>
    <t>dff389aa-4c36-470c-bf5e-3b8cc0582da5</t>
  </si>
  <si>
    <t>4347dbca-7321-48b2-8840-405affd2f491</t>
  </si>
  <si>
    <t>Shannon Ramsey</t>
  </si>
  <si>
    <t>164484a0-d115-4fff-9cb9-1d5f593c572b</t>
  </si>
  <si>
    <t>Tracy Ballard</t>
  </si>
  <si>
    <t>1e0d02b5-fe74-42cd-9d83-ad037066e289</t>
  </si>
  <si>
    <t>Richard Smith</t>
  </si>
  <si>
    <t>35ba9357-3ca8-4f31-8fd7-f3b9c68fcba5</t>
  </si>
  <si>
    <t>Jordan Chambers</t>
  </si>
  <si>
    <t>b06b0f0c-9682-4e22-bcd4-344fcf8a368e</t>
  </si>
  <si>
    <t>Lauren Carson</t>
  </si>
  <si>
    <t>9c3a1e0b-b5f3-48aa-9c6d-afff59c2f153</t>
  </si>
  <si>
    <t>Ashley Hall</t>
  </si>
  <si>
    <t>9dbc15c0-2a7d-457c-ad9c-5b50a1fd4187</t>
  </si>
  <si>
    <t>Stephen Hoffman</t>
  </si>
  <si>
    <t>d0437e4c-34e5-4699-88eb-e27a23a4e70e</t>
  </si>
  <si>
    <t>Connie Brown</t>
  </si>
  <si>
    <t>91f0647d-0f32-4333-8e31-593734fa32b6</t>
  </si>
  <si>
    <t>Susan Turner</t>
  </si>
  <si>
    <t>98cbaa52-47f5-4019-8843-8de259cf0b0d</t>
  </si>
  <si>
    <t>Charles Shah</t>
  </si>
  <si>
    <t>fa9fc10e-52da-4681-ab1a-c76c89ecbc51</t>
  </si>
  <si>
    <t>Johnathan Davis</t>
  </si>
  <si>
    <t>929ecc92-4a11-4e44-8aea-1b8fb43cde0a</t>
  </si>
  <si>
    <t>Brandy Chavez</t>
  </si>
  <si>
    <t>83b0b35c-dba6-4df8-b3d0-4ffb44709848</t>
  </si>
  <si>
    <t>Natalie Bautista</t>
  </si>
  <si>
    <t>d0afb235-ade6-4f51-a670-93a0fc48f615</t>
  </si>
  <si>
    <t>Patrick Moore</t>
  </si>
  <si>
    <t>c0062b5b-f678-49b2-a2b5-f4571860ad28</t>
  </si>
  <si>
    <t>Brett Burns</t>
  </si>
  <si>
    <t>0f2d5c15-eb34-4d3a-a95e-5ea9c9230c64</t>
  </si>
  <si>
    <t>Trevor Johnson</t>
  </si>
  <si>
    <t>a7e8d18e-ddf6-44ac-86fe-acd4fe1393cd</t>
  </si>
  <si>
    <t>Jeremy Sampson</t>
  </si>
  <si>
    <t>21f8072d-ddb7-470e-b390-b059207bbe21</t>
  </si>
  <si>
    <t>Ariana Jennings</t>
  </si>
  <si>
    <t>5274ee11-b61d-4906-a570-35db3fead90a</t>
  </si>
  <si>
    <t>Vanessa Howard</t>
  </si>
  <si>
    <t>d7f34368-c2ef-4ecb-bf5f-bf4fd4176230</t>
  </si>
  <si>
    <t>Colton Martinez</t>
  </si>
  <si>
    <t>24655c39-7d4d-4add-a488-0945ad1db537</t>
  </si>
  <si>
    <t>Jordan Bates</t>
  </si>
  <si>
    <t>a0b85755-44ca-45a2-a1e5-18a293d228d4</t>
  </si>
  <si>
    <t>Linda Smith</t>
  </si>
  <si>
    <t>135508d0-73b5-4ad5-a00b-4b356a0aa7d5</t>
  </si>
  <si>
    <t>Dana Martinez</t>
  </si>
  <si>
    <t>c4d598f7-e14f-4093-8b6a-d0c7a2356dd4</t>
  </si>
  <si>
    <t>Andrea Hubbard</t>
  </si>
  <si>
    <t>bff30c8d-83ff-4e96-a721-3a7017d50f59</t>
  </si>
  <si>
    <t>Daniel Kane</t>
  </si>
  <si>
    <t>e097dedb-efb3-4939-b1d8-18874739cc7b</t>
  </si>
  <si>
    <t>Charles Lester</t>
  </si>
  <si>
    <t>7cf07bb3-f343-49eb-b466-ef025e7b72c8</t>
  </si>
  <si>
    <t>Scott Thomas</t>
  </si>
  <si>
    <t>de70bd30-00a2-4367-94fb-09f053c93ae7</t>
  </si>
  <si>
    <t>David Thompson</t>
  </si>
  <si>
    <t>17d821b8-bb93-4d40-98df-f535c62dbaea</t>
  </si>
  <si>
    <t>Allison Smith</t>
  </si>
  <si>
    <t>a284e8fd-755c-4e2a-b8de-d777bb1e5ae8</t>
  </si>
  <si>
    <t>Cynthia Morris</t>
  </si>
  <si>
    <t>d9a09007-5bb4-4c18-b281-87c4aa055442</t>
  </si>
  <si>
    <t>Anthony Harmon</t>
  </si>
  <si>
    <t>65d0b517-88d0-4abd-8bb1-8c791036708d</t>
  </si>
  <si>
    <t>Nichole Alvarez</t>
  </si>
  <si>
    <t>d3293724-6dfd-471a-b7d7-465d37c3b3c9</t>
  </si>
  <si>
    <t>Kayla Rodriguez</t>
  </si>
  <si>
    <t>52a74a41-44be-4486-bea5-a387363be5cb</t>
  </si>
  <si>
    <t>Theresa Williams</t>
  </si>
  <si>
    <t>8c1c8b05-5677-4f36-8899-8e5fd40e53ce</t>
  </si>
  <si>
    <t>Sharon Boyd</t>
  </si>
  <si>
    <t>da385db5-90ee-4067-a16e-9fe593f37596</t>
  </si>
  <si>
    <t>Victor Brown</t>
  </si>
  <si>
    <t>e4e751de-57ff-41d9-89ce-44bd7c3f1add</t>
  </si>
  <si>
    <t>0bc2ea72-0c64-4ca2-8323-1466aebbb90e</t>
  </si>
  <si>
    <t>James Parks</t>
  </si>
  <si>
    <t>Theodore Jones Jr.</t>
  </si>
  <si>
    <t>d6321d31-c8ac-4fcf-a04d-4d14197dbae1</t>
  </si>
  <si>
    <t>Ana Hill</t>
  </si>
  <si>
    <t>edef5003-1fce-41e3-842b-03ca75a72686</t>
  </si>
  <si>
    <t>Kimberly Nguyen</t>
  </si>
  <si>
    <t>74de5f70-70f8-4dba-a871-9b9bdb8f0e32</t>
  </si>
  <si>
    <t>6d84414d-f541-41ea-bde9-1c42002c4c22</t>
  </si>
  <si>
    <t>Michael Farrell</t>
  </si>
  <si>
    <t>e8cee951-b047-4ea4-bee5-ce6933cb202e</t>
  </si>
  <si>
    <t>Patricia Le</t>
  </si>
  <si>
    <t>4d470ed6-a666-4769-a1d4-6f8221c50e41</t>
  </si>
  <si>
    <t>Jesse Perez</t>
  </si>
  <si>
    <t>e0688849-eec7-4a30-9fda-35b228b2bf21</t>
  </si>
  <si>
    <t>Jesse Perry</t>
  </si>
  <si>
    <t>5c457e4d-a793-43b8-97e5-2113462623be</t>
  </si>
  <si>
    <t>Jeffery Ortega</t>
  </si>
  <si>
    <t>aa1d3fc6-5f31-473d-9519-830c40198303</t>
  </si>
  <si>
    <t>Christian Leblanc</t>
  </si>
  <si>
    <t>0d41ee47-2a5f-4a18-a61f-0b96e75f745a</t>
  </si>
  <si>
    <t>Ronald Davis</t>
  </si>
  <si>
    <t>b9da5f8c-4e35-4a80-a027-9a186576a410</t>
  </si>
  <si>
    <t>6de21429-3bf0-49c1-8156-e501b30e96e8</t>
  </si>
  <si>
    <t>Parker Cain</t>
  </si>
  <si>
    <t>185df528-b425-4e19-9758-d47ea7cde143</t>
  </si>
  <si>
    <t>Laurie Hoffman</t>
  </si>
  <si>
    <t>Bryan Gomez</t>
  </si>
  <si>
    <t>13f3cade-7a10-413f-b6a2-c52b00473139</t>
  </si>
  <si>
    <t>Nicole Parrish</t>
  </si>
  <si>
    <t>84fa4c72-39e7-44f1-97fb-613a21f89d06</t>
  </si>
  <si>
    <t>Tracy Burke</t>
  </si>
  <si>
    <t>02106371-0260-4123-b1ef-e72aae13591e</t>
  </si>
  <si>
    <t>Kenneth Lewis</t>
  </si>
  <si>
    <t>1edf3bfa-d12e-4eb5-97f4-79b5b212a6ee</t>
  </si>
  <si>
    <t>Courtney Rodriguez</t>
  </si>
  <si>
    <t>b1ac040d-6c1c-4405-9c3f-42e0fcf7b842</t>
  </si>
  <si>
    <t>Holly Farmer</t>
  </si>
  <si>
    <t>3a9c4308-1221-4ddf-ba4a-902f21d63b0f</t>
  </si>
  <si>
    <t>Renee Bruce</t>
  </si>
  <si>
    <t>ce532ffd-bb13-4f02-96de-66c96210def6</t>
  </si>
  <si>
    <t>Sabrina Austin</t>
  </si>
  <si>
    <t>5e1885c3-5037-4d6b-9a6b-6a7d1a38aad6</t>
  </si>
  <si>
    <t>Allison Hickman</t>
  </si>
  <si>
    <t>61fa01ba-231a-47c7-8c9b-ff5ce1887eaf</t>
  </si>
  <si>
    <t>Debra White</t>
  </si>
  <si>
    <t>dfdf0e05-c0ce-431b-9038-e153c601818b</t>
  </si>
  <si>
    <t>ad58db1b-fe31-437a-a43e-558c2215df00</t>
  </si>
  <si>
    <t>Ellen Morgan</t>
  </si>
  <si>
    <t>9033da65-87cf-43fd-9183-6c4f249204c7</t>
  </si>
  <si>
    <t>Sergio Knight</t>
  </si>
  <si>
    <t>2a038ad4-a667-4982-9c3d-e1b0022b6683</t>
  </si>
  <si>
    <t>Charles Schultz</t>
  </si>
  <si>
    <t>Paul Lewis</t>
  </si>
  <si>
    <t>368acd40-b8f1-4e3c-99e7-703a70aa5b0d</t>
  </si>
  <si>
    <t>Glen Wood</t>
  </si>
  <si>
    <t>eb7e2e64-26c0-447e-bf8e-8bfaa0c9da72</t>
  </si>
  <si>
    <t>Paula Bradley</t>
  </si>
  <si>
    <t>714011a1-afc2-4cfc-9db7-284b6965d1d1</t>
  </si>
  <si>
    <t>Anthony Moore</t>
  </si>
  <si>
    <t>e5871d89-1631-4fc6-b79d-58f9dc268108</t>
  </si>
  <si>
    <t>Megan Nelson</t>
  </si>
  <si>
    <t>1f873b46-c0a0-473a-a3d7-e6a119b814fc</t>
  </si>
  <si>
    <t>Karla Ramos</t>
  </si>
  <si>
    <t>59fe3d53-624f-4a4b-bae1-e13796ee50e5</t>
  </si>
  <si>
    <t>Paul Wilson</t>
  </si>
  <si>
    <t>ca840003-5083-4fef-adec-6bbdf69777a1</t>
  </si>
  <si>
    <t>Douglas Gregory</t>
  </si>
  <si>
    <t>a505da9c-46e7-4a2c-bf6e-ed9d23cbe943</t>
  </si>
  <si>
    <t>Mr. Andrew Foster</t>
  </si>
  <si>
    <t>99db1302-8dab-46d3-bf87-dfc2159152f2</t>
  </si>
  <si>
    <t>48f091f0-9b8b-48ae-b89f-3a92999a1d86</t>
  </si>
  <si>
    <t>Aimee Turner</t>
  </si>
  <si>
    <t>06ddf6ca-b0c3-4a59-b0f7-ad22c76a8e0f</t>
  </si>
  <si>
    <t>Chad Scott</t>
  </si>
  <si>
    <t>e03635fc-a88d-4108-98d9-94b8d90f74e9</t>
  </si>
  <si>
    <t>Adam Burgess</t>
  </si>
  <si>
    <t>9b5f8f39-848b-44f0-b498-17354d38e415</t>
  </si>
  <si>
    <t>James Padilla</t>
  </si>
  <si>
    <t>Sandra Drake</t>
  </si>
  <si>
    <t>6449cb6f-bf72-4e52-b04b-237082701238</t>
  </si>
  <si>
    <t>Scott Williams</t>
  </si>
  <si>
    <t>c8a738ab-0df8-4e12-a56b-61e04ba8a4ca</t>
  </si>
  <si>
    <t>Thomas Atkins</t>
  </si>
  <si>
    <t>3d4574eb-f465-4a21-8b35-097ae5dd98f1</t>
  </si>
  <si>
    <t>Laura Mckinney</t>
  </si>
  <si>
    <t>3db788a6-1cdc-44c2-a2c9-65b27eb0f62a</t>
  </si>
  <si>
    <t>Brian Smith</t>
  </si>
  <si>
    <t>122dd7be-980b-481e-a359-5d1f7fe4a42e</t>
  </si>
  <si>
    <t>Robert Montgomery</t>
  </si>
  <si>
    <t>0316d2d6-fa4a-48ef-a383-7348873dc8bd</t>
  </si>
  <si>
    <t>Tamara Davis</t>
  </si>
  <si>
    <t>51045a16-ef15-4b72-9c70-ee97fca45567</t>
  </si>
  <si>
    <t>Dana Chapman</t>
  </si>
  <si>
    <t>d6c6f45c-dc5e-4e78-a307-d4d121c9a15d</t>
  </si>
  <si>
    <t>8bde005b-5d8b-4bd7-abbd-b66f91816091</t>
  </si>
  <si>
    <t>Jennifer Collins</t>
  </si>
  <si>
    <t>78946a15-c342-41db-ac3a-acdcaed54a46</t>
  </si>
  <si>
    <t>Gary Jackson</t>
  </si>
  <si>
    <t>12af97e4-c536-466e-bcc4-091bf45707c6</t>
  </si>
  <si>
    <t>Ashley Hicks</t>
  </si>
  <si>
    <t>0387f74d-1149-4096-965d-744f0445c1a8</t>
  </si>
  <si>
    <t>Hannah Luna</t>
  </si>
  <si>
    <t>ec2e2815-0a32-47d2-b73a-edf8431e930f</t>
  </si>
  <si>
    <t>Robin Young</t>
  </si>
  <si>
    <t>Craig Morrison</t>
  </si>
  <si>
    <t>65e1b0f5-ca0e-48c4-b2dc-b12b0f7ae302</t>
  </si>
  <si>
    <t>Mary Thompson</t>
  </si>
  <si>
    <t>b66edbf4-a0ea-4251-8957-43a281b13b80</t>
  </si>
  <si>
    <t>Kathleen Webster</t>
  </si>
  <si>
    <t>6c6f6d2e-6a59-4043-8461-52348044beb2</t>
  </si>
  <si>
    <t>Joann Glass</t>
  </si>
  <si>
    <t>a3fa4069-1519-4d38-a6fb-a71db3a9dcaa</t>
  </si>
  <si>
    <t>Madison Weber</t>
  </si>
  <si>
    <t>271610c1-9db5-4283-89a3-c811895c4fde</t>
  </si>
  <si>
    <t>Lori Hernandez</t>
  </si>
  <si>
    <t>143ac1c5-4f56-4ed5-9566-9e364708203b</t>
  </si>
  <si>
    <t>Jeremy Turner</t>
  </si>
  <si>
    <t>f96c9a0a-3404-402a-abc1-bb5282e4dd4a</t>
  </si>
  <si>
    <t>53a5e850-8950-4dd6-a7c6-cbb1cedd069d</t>
  </si>
  <si>
    <t>Anthony Romero</t>
  </si>
  <si>
    <t>c362a810-a261-4b8d-9620-bee66406face</t>
  </si>
  <si>
    <t>Jesse Brown</t>
  </si>
  <si>
    <t>a4a5c736-ae59-4a52-a65b-e22bd5a386d9</t>
  </si>
  <si>
    <t>Angela Lin</t>
  </si>
  <si>
    <t>6fff15cc-b2dc-4c34-8f67-448e10eceb1f</t>
  </si>
  <si>
    <t>Lisa Hunter</t>
  </si>
  <si>
    <t>3d175712-d8b2-4277-b413-db19bade8d5d</t>
  </si>
  <si>
    <t>Julian Conner</t>
  </si>
  <si>
    <t>ecb4678c-1612-4aa6-be96-39ba0ed2ec9d</t>
  </si>
  <si>
    <t>Joanna Pacheco</t>
  </si>
  <si>
    <t>Erica Alvarez</t>
  </si>
  <si>
    <t>9cbf7b8c-7410-4d5d-9db1-4bfc6f3a5115</t>
  </si>
  <si>
    <t>Antonio Garcia</t>
  </si>
  <si>
    <t>aa8430f8-4f2d-4233-8e16-5b129bdc70d1</t>
  </si>
  <si>
    <t>Gwendolyn Klein</t>
  </si>
  <si>
    <t>2cf72140-bd9b-4648-a876-1e85bddfa03a</t>
  </si>
  <si>
    <t>Carrie Wright</t>
  </si>
  <si>
    <t>23204ff5-b538-496c-833e-02f71e93d127</t>
  </si>
  <si>
    <t>Jeffrey Mills</t>
  </si>
  <si>
    <t>7f14eafa-29f0-4f7c-82e7-df89b3957a98</t>
  </si>
  <si>
    <t>Jake Campbell</t>
  </si>
  <si>
    <t>8468b74d-85e3-4de5-98c1-aad6f3f8dea4</t>
  </si>
  <si>
    <t>425e0259-b884-46d2-928f-cf68c871d7b3</t>
  </si>
  <si>
    <t>George Harper</t>
  </si>
  <si>
    <t>bff15840-207e-463f-9f32-d5d82abe1585</t>
  </si>
  <si>
    <t>Maria Jones</t>
  </si>
  <si>
    <t>bba1aed9-44cd-4fdd-9f9b-141ec7f7bda1</t>
  </si>
  <si>
    <t>Michael Mitchell</t>
  </si>
  <si>
    <t>e65fad87-c57c-4498-9e38-f711e2ec13f4</t>
  </si>
  <si>
    <t>Mary Escobar</t>
  </si>
  <si>
    <t>6de8370a-ce9e-4ebd-95c3-48530783e43c</t>
  </si>
  <si>
    <t>Felicia Aguilar</t>
  </si>
  <si>
    <t>4350ab06-1059-4a28-861b-4f5b45a08539</t>
  </si>
  <si>
    <t>Gregory Ponce</t>
  </si>
  <si>
    <t>a0a5fde6-939f-41a2-b99c-ea5cb65ad0f1</t>
  </si>
  <si>
    <t>Jenna Larson</t>
  </si>
  <si>
    <t>Emily Bennett</t>
  </si>
  <si>
    <t>82c299f0-7487-4772-bf03-86fa13badc91</t>
  </si>
  <si>
    <t>Robin Santiago</t>
  </si>
  <si>
    <t>dbff00b0-7fe6-40f3-8e31-41ec5c311464</t>
  </si>
  <si>
    <t>Nancy Jennings</t>
  </si>
  <si>
    <t>28457780-5e20-4957-aab8-bd33911f730b</t>
  </si>
  <si>
    <t>Maria Henderson</t>
  </si>
  <si>
    <t>e4eec67c-1a57-49e4-85f8-e2f8414f4994</t>
  </si>
  <si>
    <t>Jack White</t>
  </si>
  <si>
    <t>1d8680cb-b908-40f3-ac93-281a92ebeab0</t>
  </si>
  <si>
    <t>00a85473-8242-4912-bda3-c1623a78b64a</t>
  </si>
  <si>
    <t>Travis Tucker</t>
  </si>
  <si>
    <t>03254fbd-dce8-41c5-9bd3-0aec0b461173</t>
  </si>
  <si>
    <t>Chad Jones</t>
  </si>
  <si>
    <t>5d2d904f-78c5-4073-8bc5-72073e9aec86</t>
  </si>
  <si>
    <t>Ashley Wise</t>
  </si>
  <si>
    <t>2dd0622e-266b-42ea-ab93-f78c620af158</t>
  </si>
  <si>
    <t>Sophia Johnson</t>
  </si>
  <si>
    <t>090d9655-db84-4660-b5d8-fb91ee6081ac</t>
  </si>
  <si>
    <t>Ralph Anderson</t>
  </si>
  <si>
    <t>b6ca1127-e9f8-4970-8d98-f9e28d888beb</t>
  </si>
  <si>
    <t>Christopher Guerra</t>
  </si>
  <si>
    <t>3979d5f5-6b5b-4975-a7dc-2bc0bd9c4693</t>
  </si>
  <si>
    <t>Rhonda Martin</t>
  </si>
  <si>
    <t>ea75752d-6a8f-4acb-bf8e-2d0d52619dec</t>
  </si>
  <si>
    <t>Jason Rhodes</t>
  </si>
  <si>
    <t>Jeremy Mitchell</t>
  </si>
  <si>
    <t>d3748a11-4571-4959-91e7-44e4b864ca08</t>
  </si>
  <si>
    <t>Joann Ferguson</t>
  </si>
  <si>
    <t>1e910f36-5f70-4b25-9250-2e5913f06822</t>
  </si>
  <si>
    <t>Robert Harrison</t>
  </si>
  <si>
    <t>0d7bec04-e6e5-4b32-ac5f-12ef8085c147</t>
  </si>
  <si>
    <t>Holly Valentine</t>
  </si>
  <si>
    <t>8409c5ea-cde9-48b3-b922-a7e42de982f8</t>
  </si>
  <si>
    <t>66a302d6-f43e-4c48-8bc1-f9e5fb3df063</t>
  </si>
  <si>
    <t>Mrs. Diane Reyes</t>
  </si>
  <si>
    <t>ddb449dc-7710-4966-a082-7f7611a529b4</t>
  </si>
  <si>
    <t>Tracy Montoya</t>
  </si>
  <si>
    <t>4f89e3b2-d847-4c53-8605-e58a48454343</t>
  </si>
  <si>
    <t>Brenda Wright</t>
  </si>
  <si>
    <t>74ed5145-8d97-45c7-961d-5c8753c9fe59</t>
  </si>
  <si>
    <t>Shelly Spencer</t>
  </si>
  <si>
    <t>4aa5f9d3-335f-4f59-9e71-7fca020a4497</t>
  </si>
  <si>
    <t>Ryan Rosales</t>
  </si>
  <si>
    <t>bd54da04-4dcd-4009-88d5-77179055a36f</t>
  </si>
  <si>
    <t>Phillip Nelson</t>
  </si>
  <si>
    <t>5e472e22-76c3-4642-be19-fc1d9f6a6a65</t>
  </si>
  <si>
    <t>Brittany Kim</t>
  </si>
  <si>
    <t>ff6ef9ed-7e4c-429f-b8cb-ab4c97790e84</t>
  </si>
  <si>
    <t>Courtney Hayes</t>
  </si>
  <si>
    <t>bb82b796-3207-443e-86a0-7656c5c9fb91</t>
  </si>
  <si>
    <t>Alexander Brown</t>
  </si>
  <si>
    <t>Cynthia Vang</t>
  </si>
  <si>
    <t>cbc4ec0e-c2ae-4674-8beb-4e78e68373a3</t>
  </si>
  <si>
    <t>Alfred Galvan</t>
  </si>
  <si>
    <t>eeb19ad2-01a1-4b0f-a68b-84b63ec0a285</t>
  </si>
  <si>
    <t>Marie Moody</t>
  </si>
  <si>
    <t>8aa2b4c9-3ba5-4d76-861e-fb9568f82063</t>
  </si>
  <si>
    <t>b186a5a8-d6ee-426b-a2cd-159058af393c</t>
  </si>
  <si>
    <t>Dustin Gallegos</t>
  </si>
  <si>
    <t>55c3b2db-f374-490d-8274-ce40e09016b6</t>
  </si>
  <si>
    <t>Brenda Thornton</t>
  </si>
  <si>
    <t>60538c1b-a845-40a1-8249-2e5e005fd0e6</t>
  </si>
  <si>
    <t>Aaron Miller</t>
  </si>
  <si>
    <t>4eb9047d-ba2a-43d9-bcf2-fc3bd95874c2</t>
  </si>
  <si>
    <t>Ruben Dunn</t>
  </si>
  <si>
    <t>fbad793f-87a1-4c02-b487-9e411a9c672a</t>
  </si>
  <si>
    <t>Kelsey Rodriguez</t>
  </si>
  <si>
    <t>f610396b-7df5-4abf-ab79-0d013cf88d20</t>
  </si>
  <si>
    <t>Eric Williams</t>
  </si>
  <si>
    <t>247296a4-ff38-4918-b8f9-a45d0f554896</t>
  </si>
  <si>
    <t>Riley Bryant</t>
  </si>
  <si>
    <t>0b3d0c36-17d0-4810-87a2-a10bb62edb49</t>
  </si>
  <si>
    <t>Taylor Carlson</t>
  </si>
  <si>
    <t>d872f72e-e5b4-41ae-bb41-c943ebd8a3b1</t>
  </si>
  <si>
    <t>Jose Allen</t>
  </si>
  <si>
    <t>e5449887-b36a-43ed-a9be-173a850ef0ad</t>
  </si>
  <si>
    <t>Jeffrey Mendez</t>
  </si>
  <si>
    <t>Jason Beck</t>
  </si>
  <si>
    <t>bf7655d7-f97c-4c3c-b55d-814b5f5ba255</t>
  </si>
  <si>
    <t>William Jones</t>
  </si>
  <si>
    <t>8163b6ce-1877-4c06-94ad-625215bc2a3e</t>
  </si>
  <si>
    <t>64f434d6-d1e9-4691-a320-9116222df6a4</t>
  </si>
  <si>
    <t>Katie Mcneil</t>
  </si>
  <si>
    <t>0ff1c51f-915c-431b-9786-7b1213281726</t>
  </si>
  <si>
    <t>Jeanette Harrison</t>
  </si>
  <si>
    <t>21761930-f6d7-4248-a995-ecc36f5b09a6</t>
  </si>
  <si>
    <t>Veronica King</t>
  </si>
  <si>
    <t>d9d57b02-42d0-4d55-8aab-47b23c9d128a</t>
  </si>
  <si>
    <t>Richard Cooper</t>
  </si>
  <si>
    <t>64988bde-cd02-44db-ad11-15d750a46c85</t>
  </si>
  <si>
    <t>Lori Ingram</t>
  </si>
  <si>
    <t>53853918-bc40-45fa-94f7-6322b362c0d2</t>
  </si>
  <si>
    <t>Evelyn Williams</t>
  </si>
  <si>
    <t>3bcdf203-459e-4674-b3e7-f042516c3b0a</t>
  </si>
  <si>
    <t>Robin Thompson</t>
  </si>
  <si>
    <t>22d839d3-33e4-4986-b18c-ccdc131eb723</t>
  </si>
  <si>
    <t>Julie Dominguez</t>
  </si>
  <si>
    <t>1be5a4c3-95af-4d0c-8528-5425c7a9f33c</t>
  </si>
  <si>
    <t>Robin Brown</t>
  </si>
  <si>
    <t>7316ce64-2a14-4a96-9b0c-62eb27c8fc6c</t>
  </si>
  <si>
    <t>Judith Carter</t>
  </si>
  <si>
    <t>1ee89a4c-6811-44e2-9064-7c59774f6354</t>
  </si>
  <si>
    <t>Curtis Williams</t>
  </si>
  <si>
    <t>Kaylee Hays</t>
  </si>
  <si>
    <t>c534ca08-f6f2-4d1c-9bb8-b9c8893259f3</t>
  </si>
  <si>
    <t>769de1e3-4eed-4124-b3b0-d6763527a5c8</t>
  </si>
  <si>
    <t>Dawn Mullins</t>
  </si>
  <si>
    <t>1725d2c7-1eb2-47b8-9a3c-45ca43d78f2b</t>
  </si>
  <si>
    <t>Howard Norman</t>
  </si>
  <si>
    <t>4de1087b-afa1-4a55-8ebe-abaa28597b34</t>
  </si>
  <si>
    <t>Evelyn Martinez</t>
  </si>
  <si>
    <t>9a72083c-b266-486c-b467-88bdd38e13e4</t>
  </si>
  <si>
    <t>Steve Paul</t>
  </si>
  <si>
    <t>db4862c2-d5ff-4a1f-b70b-9a290a530df9</t>
  </si>
  <si>
    <t>Jasmine Beltran</t>
  </si>
  <si>
    <t>b60e695c-1759-4a96-a5f8-8c7453ea4919</t>
  </si>
  <si>
    <t>657046ea-5b11-451f-b7e9-101d3f8b4433</t>
  </si>
  <si>
    <t>Monica Miller</t>
  </si>
  <si>
    <t>4c80d33a-ad5b-43c8-8c88-0714837217e0</t>
  </si>
  <si>
    <t>Samantha Gardner</t>
  </si>
  <si>
    <t>2c82989f-fd9c-4bb0-91f1-6485429a4a7c</t>
  </si>
  <si>
    <t>Bobby Guerrero</t>
  </si>
  <si>
    <t>dac726b6-6786-4fb3-b3bc-9a7107f4fee5</t>
  </si>
  <si>
    <t>Lance Simmons</t>
  </si>
  <si>
    <t>8cd4b90a-bf82-41bc-8e52-fc4273c374a6</t>
  </si>
  <si>
    <t>Heather Williams</t>
  </si>
  <si>
    <t>1a16998c-7648-476e-983f-ea703ff6579e</t>
  </si>
  <si>
    <t>Heather Bolton</t>
  </si>
  <si>
    <t>1f178f93-23c9-4a1e-8b37-1d97cdcc2d6a</t>
  </si>
  <si>
    <t>William Gould</t>
  </si>
  <si>
    <t>c7ecfe71-d493-47fc-8fc9-8d2e030f9be9</t>
  </si>
  <si>
    <t>Mark Cox</t>
  </si>
  <si>
    <t>32b8d8aa-2176-4dd7-b8e7-e019fb8986c8</t>
  </si>
  <si>
    <t>Meghan Cisneros</t>
  </si>
  <si>
    <t>afb06406-5f4b-4a97-a68c-879bd2dc42c8</t>
  </si>
  <si>
    <t>Lawrence Harrington</t>
  </si>
  <si>
    <t>15839b99-a50a-43dc-b004-e897a15b2e18</t>
  </si>
  <si>
    <t>Austin Osborne</t>
  </si>
  <si>
    <t>eadc9960-4242-41e2-960b-e0f495132c22</t>
  </si>
  <si>
    <t>James Bradley</t>
  </si>
  <si>
    <t>ff45f8a2-0594-424f-9332-5c31d010318a</t>
  </si>
  <si>
    <t>Meghan Rush</t>
  </si>
  <si>
    <t>a55f65b7-e709-4ba6-b29f-c41710813d45</t>
  </si>
  <si>
    <t>Phillip Berry</t>
  </si>
  <si>
    <t>178be968-20f8-4ba2-8f2e-32967184b713</t>
  </si>
  <si>
    <t>Jennifer Banks</t>
  </si>
  <si>
    <t>cf133b65-d450-4fa2-98e7-0aebe7b33085</t>
  </si>
  <si>
    <t>Brian Fitzgerald</t>
  </si>
  <si>
    <t>f1394e3c-0aee-4557-9f5d-f91254e07431</t>
  </si>
  <si>
    <t>ec93e596-2b01-4723-8cf6-97a57603c36c</t>
  </si>
  <si>
    <t>Zachary Mitchell</t>
  </si>
  <si>
    <t>b9744cde-d259-4960-aee3-560792ea1324</t>
  </si>
  <si>
    <t>Katherine Martinez</t>
  </si>
  <si>
    <t>61fa8e7a-078c-46ce-bf02-23bc651ea252</t>
  </si>
  <si>
    <t>Jodi Roach</t>
  </si>
  <si>
    <t>5a9c0679-2c3d-47e2-ad39-da75aee70ab2</t>
  </si>
  <si>
    <t>Brandon Fleming</t>
  </si>
  <si>
    <t>46653497-2fe9-42aa-a886-a01136f7a26c</t>
  </si>
  <si>
    <t>Unknown Customer</t>
  </si>
  <si>
    <t>Margaret Hawkins Dds</t>
  </si>
  <si>
    <t>Ricky Davis Ii</t>
  </si>
  <si>
    <t>Bailey Duran Dds</t>
  </si>
  <si>
    <t>Elizabeth Oliver Dds</t>
  </si>
  <si>
    <t>Brandon Bailey Md</t>
  </si>
  <si>
    <t>Susan Murray Md</t>
  </si>
  <si>
    <t>Tanner Mitchell Dds</t>
  </si>
  <si>
    <t>Kerry Chavez Dds</t>
  </si>
  <si>
    <t>Jonathan Glass Md</t>
  </si>
  <si>
    <t>Mr. Justin Green Iii</t>
  </si>
  <si>
    <t>Sale Year</t>
  </si>
  <si>
    <t>Sale Month</t>
  </si>
  <si>
    <t>Sale Week Number</t>
  </si>
  <si>
    <t>rivers</t>
  </si>
  <si>
    <t>KEYBOARD</t>
  </si>
  <si>
    <t>CAMERA</t>
  </si>
  <si>
    <t>plateau</t>
  </si>
  <si>
    <t>CHARGER</t>
  </si>
  <si>
    <t>lagos</t>
  </si>
  <si>
    <t>Margaret Hawkins DDS</t>
  </si>
  <si>
    <t>LAPTOP</t>
  </si>
  <si>
    <t>MONITOR</t>
  </si>
  <si>
    <t>kano</t>
  </si>
  <si>
    <t>imo</t>
  </si>
  <si>
    <t>PHONE</t>
  </si>
  <si>
    <t>enugu</t>
  </si>
  <si>
    <t>anambra</t>
  </si>
  <si>
    <t>TABLET</t>
  </si>
  <si>
    <t>katsina</t>
  </si>
  <si>
    <t>delta</t>
  </si>
  <si>
    <t>HEADPHONES</t>
  </si>
  <si>
    <t>oyo</t>
  </si>
  <si>
    <t>osun</t>
  </si>
  <si>
    <t>kaduna</t>
  </si>
  <si>
    <t>niger</t>
  </si>
  <si>
    <t>borno</t>
  </si>
  <si>
    <t>abuja</t>
  </si>
  <si>
    <t>bauchi</t>
  </si>
  <si>
    <t>cross river</t>
  </si>
  <si>
    <t>Ricky Davis II</t>
  </si>
  <si>
    <t>Bailey Duran DDS</t>
  </si>
  <si>
    <t>Elizabeth Oliver DDS</t>
  </si>
  <si>
    <t>ekiti</t>
  </si>
  <si>
    <t>Brandon Bailey MD</t>
  </si>
  <si>
    <t>Susan Murray MD</t>
  </si>
  <si>
    <t>sokoto</t>
  </si>
  <si>
    <t>Tanner Mitchell DDS</t>
  </si>
  <si>
    <t>Kerry Chavez DDS</t>
  </si>
  <si>
    <t>benue</t>
  </si>
  <si>
    <t>Jonathan Glass MD</t>
  </si>
  <si>
    <t>Mr. Justin Green III</t>
  </si>
  <si>
    <t>MIS-0002</t>
  </si>
  <si>
    <t>MIS-0016</t>
  </si>
  <si>
    <t>MIS-0030</t>
  </si>
  <si>
    <t>MIS-0044</t>
  </si>
  <si>
    <t>MIS-0058</t>
  </si>
  <si>
    <t>MIS-0072</t>
  </si>
  <si>
    <t>MIS-0086</t>
  </si>
  <si>
    <t>MIS-0100</t>
  </si>
  <si>
    <t>MIS-0114</t>
  </si>
  <si>
    <t>MIS-0128</t>
  </si>
  <si>
    <t>MIS-0142</t>
  </si>
  <si>
    <t>MIS-0156</t>
  </si>
  <si>
    <t>MIS-0170</t>
  </si>
  <si>
    <t>MIS-0184</t>
  </si>
  <si>
    <t>MIS-0198</t>
  </si>
  <si>
    <t>MIS-0212</t>
  </si>
  <si>
    <t>MIS-0226</t>
  </si>
  <si>
    <t>MIS-0240</t>
  </si>
  <si>
    <t>MIS-0254</t>
  </si>
  <si>
    <t>MIS-0268</t>
  </si>
  <si>
    <t>MIS-0282</t>
  </si>
  <si>
    <t>MIS-0296</t>
  </si>
  <si>
    <t>MIS-0310</t>
  </si>
  <si>
    <t>MIS-0324</t>
  </si>
  <si>
    <t>MIS-0338</t>
  </si>
  <si>
    <t>MIS-0352</t>
  </si>
  <si>
    <t>MIS-0366</t>
  </si>
  <si>
    <t>MIS-0380</t>
  </si>
  <si>
    <t>MIS-0394</t>
  </si>
  <si>
    <t>MIS-0408</t>
  </si>
  <si>
    <t>MIS-0422</t>
  </si>
  <si>
    <t>MIS-0436</t>
  </si>
  <si>
    <t>MIS-0450</t>
  </si>
  <si>
    <t>MIS-0464</t>
  </si>
  <si>
    <t>MIS-0478</t>
  </si>
  <si>
    <t>MIS-0492</t>
  </si>
  <si>
    <t>MIS-0506</t>
  </si>
  <si>
    <t>MIS-0520</t>
  </si>
  <si>
    <t>MIS-0534</t>
  </si>
  <si>
    <t>MIS-0548</t>
  </si>
  <si>
    <t>Row Labels</t>
  </si>
  <si>
    <t>Grand Total</t>
  </si>
  <si>
    <t>2023</t>
  </si>
  <si>
    <t>2024</t>
  </si>
  <si>
    <t>2025</t>
  </si>
  <si>
    <t>Count of Order ID</t>
  </si>
  <si>
    <t>Sum of Units Sold</t>
  </si>
  <si>
    <t>Sum of Total Sale</t>
  </si>
  <si>
    <t>Products</t>
  </si>
  <si>
    <t>Year</t>
  </si>
  <si>
    <t>Units Sold Percentage</t>
  </si>
  <si>
    <t>Total Sales Percentage</t>
  </si>
  <si>
    <t xml:space="preserve">Percentage of Order </t>
  </si>
  <si>
    <t>Percentage of Total Sales</t>
  </si>
  <si>
    <t>Average Order Value</t>
  </si>
  <si>
    <t>Total Revenue</t>
  </si>
  <si>
    <t>Total Orders</t>
  </si>
  <si>
    <t>Avg Order Value</t>
  </si>
  <si>
    <t>Top Product</t>
  </si>
  <si>
    <t>Top State</t>
  </si>
  <si>
    <t>KPI</t>
  </si>
  <si>
    <t>Values</t>
  </si>
  <si>
    <t>Date Check</t>
  </si>
  <si>
    <t>Exception Reason</t>
  </si>
  <si>
    <t>Price Validation</t>
  </si>
  <si>
    <t>Revenue Validation</t>
  </si>
  <si>
    <t>Order ID Validation</t>
  </si>
  <si>
    <t>Record Status</t>
  </si>
  <si>
    <t>Total Records</t>
  </si>
  <si>
    <t>Total Exceptions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</si>
</sst>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C09]* #,##0_-;\-[$$-C09]* #,##0_-;_-[$$-C09]* &quot;-&quot;_-;_-@_-"/>
    <numFmt numFmtId="165" formatCode="[$$-C09]#,##0"/>
    <numFmt numFmtId="166" formatCode="_-[$$-409]* #,##0_ ;_-[$$-409]* \-#,##0\ ;_-[$$-409]* &quot;-&quot;??_ ;_-@_ "/>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12"/>
      <color rgb="FFFF0000"/>
      <name val="Calibri"/>
      <family val="2"/>
      <scheme val="minor"/>
    </font>
    <font>
      <b/>
      <sz val="12"/>
      <color rgb="FF00B05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8"/>
        <bgColor indexed="64"/>
      </patternFill>
    </fill>
    <fill>
      <patternFill patternType="solid">
        <fgColor theme="5"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11" fontId="0" fillId="0" borderId="0" xfId="0" applyNumberFormat="1"/>
    <xf numFmtId="0" fontId="0" fillId="0" borderId="0" xfId="0" applyAlignment="1">
      <alignment horizontal="center"/>
    </xf>
    <xf numFmtId="0" fontId="18" fillId="33" borderId="0" xfId="0" applyFont="1" applyFill="1" applyAlignment="1">
      <alignment horizontal="center"/>
    </xf>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0" fontId="0" fillId="0" borderId="0" xfId="0" applyNumberFormat="1"/>
    <xf numFmtId="0" fontId="0" fillId="0" borderId="0" xfId="0" pivotButton="1" applyAlignment="1">
      <alignment horizontal="center"/>
    </xf>
    <xf numFmtId="165" fontId="0" fillId="0" borderId="0" xfId="0" applyNumberFormat="1"/>
    <xf numFmtId="0" fontId="20" fillId="0" borderId="0" xfId="0" applyFont="1" applyAlignment="1">
      <alignment horizontal="center"/>
    </xf>
    <xf numFmtId="0" fontId="20" fillId="0" borderId="0" xfId="0" applyFont="1"/>
    <xf numFmtId="166" fontId="20" fillId="0" borderId="0" xfId="0" applyNumberFormat="1" applyFont="1" applyAlignment="1">
      <alignment horizontal="center"/>
    </xf>
    <xf numFmtId="1" fontId="20" fillId="0" borderId="0" xfId="0" applyNumberFormat="1" applyFont="1" applyAlignment="1">
      <alignment horizontal="center"/>
    </xf>
    <xf numFmtId="0" fontId="18" fillId="34" borderId="0" xfId="0" applyFont="1" applyFill="1" applyAlignment="1">
      <alignment horizontal="center"/>
    </xf>
    <xf numFmtId="0" fontId="19" fillId="35" borderId="0" xfId="0" applyFont="1" applyFill="1" applyAlignment="1">
      <alignment horizontal="center" vertical="center" wrapText="1"/>
    </xf>
    <xf numFmtId="0" fontId="20" fillId="35" borderId="0" xfId="0" applyFont="1" applyFill="1" applyAlignment="1">
      <alignment horizontal="center"/>
    </xf>
    <xf numFmtId="0" fontId="21" fillId="36" borderId="0" xfId="0" applyFont="1" applyFill="1"/>
    <xf numFmtId="0" fontId="22" fillId="36"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font>
        <b/>
        <i val="0"/>
        <strike val="0"/>
      </font>
    </dxf>
    <dxf>
      <font>
        <color rgb="FF9C0006"/>
      </font>
      <fill>
        <patternFill>
          <bgColor rgb="FFFFC7CE"/>
        </patternFill>
      </fill>
    </dxf>
    <dxf>
      <font>
        <color rgb="FF9C0006"/>
      </font>
      <fill>
        <patternFill>
          <bgColor rgb="FFFFC7CE"/>
        </patternFill>
      </fill>
    </dxf>
    <dxf>
      <font>
        <b/>
        <i val="0"/>
        <strike val="0"/>
      </font>
    </dxf>
    <dxf>
      <font>
        <color rgb="FF9C0006"/>
      </font>
      <fill>
        <patternFill>
          <bgColor rgb="FFFFC7CE"/>
        </patternFill>
      </fill>
    </dxf>
    <dxf>
      <font>
        <b/>
        <i val="0"/>
        <strike val="0"/>
        <color rgb="FFFF3300"/>
      </font>
    </dxf>
    <dxf>
      <font>
        <b/>
        <i val="0"/>
        <strike val="0"/>
      </font>
    </dxf>
    <dxf>
      <font>
        <b/>
        <i val="0"/>
        <strike val="0"/>
      </font>
    </dxf>
    <dxf>
      <font>
        <b/>
        <i val="0"/>
        <strike val="0"/>
      </font>
    </dxf>
    <dxf>
      <numFmt numFmtId="0" formatCode="General"/>
    </dxf>
    <dxf>
      <numFmt numFmtId="19" formatCode="dd/mm/yyyy"/>
    </dxf>
    <dxf>
      <font>
        <b/>
        <i val="0"/>
        <strike val="0"/>
        <condense val="0"/>
        <extend val="0"/>
        <outline val="0"/>
        <shadow val="0"/>
        <u val="none"/>
        <vertAlign val="baseline"/>
        <sz val="12"/>
        <color theme="1"/>
        <name val="Calibri"/>
        <family val="2"/>
        <scheme val="minor"/>
      </font>
      <fill>
        <patternFill patternType="solid">
          <fgColor indexed="64"/>
          <bgColor theme="8"/>
        </patternFill>
      </fill>
      <alignment horizontal="center" vertical="bottom" textRotation="0" wrapText="0" indent="0" justifyLastLine="0" shrinkToFit="0" readingOrder="0"/>
    </dxf>
    <dxf>
      <numFmt numFmtId="1" formatCode="0"/>
    </dxf>
    <dxf>
      <numFmt numFmtId="14" formatCode="0.00%"/>
    </dxf>
    <dxf>
      <numFmt numFmtId="165" formatCode="[$$-C09]#,##0"/>
    </dxf>
    <dxf>
      <numFmt numFmtId="14" formatCode="0.00%"/>
    </dxf>
    <dxf>
      <numFmt numFmtId="165" formatCode="[$$-C09]#,##0"/>
    </dxf>
    <dxf>
      <numFmt numFmtId="165" formatCode="[$$-C09]#,##0"/>
    </dxf>
    <dxf>
      <numFmt numFmtId="14" formatCode="0.00%"/>
    </dxf>
    <dxf>
      <alignment horizontal="center"/>
    </dxf>
    <dxf>
      <alignment horizontal="center"/>
    </dxf>
    <dxf>
      <numFmt numFmtId="14" formatCode="0.00%"/>
    </dxf>
    <dxf>
      <numFmt numFmtId="164" formatCode="_-[$$-C09]* #,##0_-;\-[$$-C09]* #,##0_-;_-[$$-C09]* &quot;-&quot;_-;_-@_-"/>
    </dxf>
    <dxf>
      <numFmt numFmtId="164" formatCode="_-[$$-C09]* #,##0_-;\-[$$-C09]* #,##0_-;_-[$$-C09]* &quot;-&quot;_-;_-@_-"/>
    </dxf>
    <dxf>
      <numFmt numFmtId="1" formatCode="0"/>
    </dxf>
    <dxf>
      <numFmt numFmtId="167" formatCode="&quot;₹&quot;\ #,##0"/>
    </dxf>
    <dxf>
      <numFmt numFmtId="167" formatCode="&quot;₹&quot;\ #,##0"/>
    </dxf>
    <dxf>
      <numFmt numFmtId="167" formatCode="&quot;₹&quot;\ #,##0"/>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editAs="oneCell">
    <xdr:from>
      <xdr:col>10</xdr:col>
      <xdr:colOff>6350</xdr:colOff>
      <xdr:row>2</xdr:row>
      <xdr:rowOff>6351</xdr:rowOff>
    </xdr:from>
    <xdr:to>
      <xdr:col>13</xdr:col>
      <xdr:colOff>6350</xdr:colOff>
      <xdr:row>10</xdr:row>
      <xdr:rowOff>114301</xdr:rowOff>
    </xdr:to>
    <mc:AlternateContent xmlns:mc="http://schemas.openxmlformats.org/markup-compatibility/2006" xmlns:a14="http://schemas.microsoft.com/office/drawing/2010/main">
      <mc:Choice Requires="a14">
        <xdr:graphicFrame macro="">
          <xdr:nvGraphicFramePr>
            <xdr:cNvPr id="3" name="Sale Year">
              <a:extLst>
                <a:ext uri="{FF2B5EF4-FFF2-40B4-BE49-F238E27FC236}">
                  <a16:creationId xmlns:a16="http://schemas.microsoft.com/office/drawing/2014/main" id="{E1164116-78CE-DDD6-7D3B-3CD5048ABAFE}"/>
                </a:ext>
              </a:extLst>
            </xdr:cNvPr>
            <xdr:cNvGraphicFramePr/>
          </xdr:nvGraphicFramePr>
          <xdr:xfrm>
            <a:off x="0" y="0"/>
            <a:ext cx="0" cy="0"/>
          </xdr:xfrm>
          <a:graphic>
            <a:graphicData uri="http://schemas.microsoft.com/office/drawing/2010/slicer">
              <sle:slicer xmlns:sle="http://schemas.microsoft.com/office/drawing/2010/slicer" name="Sale Year"/>
            </a:graphicData>
          </a:graphic>
        </xdr:graphicFrame>
      </mc:Choice>
      <mc:Fallback xmlns="">
        <xdr:sp macro="" textlink="">
          <xdr:nvSpPr>
            <xdr:cNvPr id="0" name=""/>
            <xdr:cNvSpPr>
              <a:spLocks noTextEdit="1"/>
            </xdr:cNvSpPr>
          </xdr:nvSpPr>
          <xdr:spPr>
            <a:xfrm>
              <a:off x="8826500" y="374651"/>
              <a:ext cx="1828800" cy="1581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603250</xdr:colOff>
      <xdr:row>2</xdr:row>
      <xdr:rowOff>12700</xdr:rowOff>
    </xdr:from>
    <xdr:to>
      <xdr:col>8</xdr:col>
      <xdr:colOff>603250</xdr:colOff>
      <xdr:row>22</xdr:row>
      <xdr:rowOff>120650</xdr:rowOff>
    </xdr:to>
    <mc:AlternateContent xmlns:mc="http://schemas.openxmlformats.org/markup-compatibility/2006" xmlns:a14="http://schemas.microsoft.com/office/drawing/2010/main">
      <mc:Choice Requires="a14">
        <xdr:graphicFrame macro="">
          <xdr:nvGraphicFramePr>
            <xdr:cNvPr id="4" name="Months (Sale Date)">
              <a:extLst>
                <a:ext uri="{FF2B5EF4-FFF2-40B4-BE49-F238E27FC236}">
                  <a16:creationId xmlns:a16="http://schemas.microsoft.com/office/drawing/2014/main" id="{22EA26D9-5B6F-90E9-E4DD-F386BD8C4A59}"/>
                </a:ext>
              </a:extLst>
            </xdr:cNvPr>
            <xdr:cNvGraphicFramePr/>
          </xdr:nvGraphicFramePr>
          <xdr:xfrm>
            <a:off x="0" y="0"/>
            <a:ext cx="0" cy="0"/>
          </xdr:xfrm>
          <a:graphic>
            <a:graphicData uri="http://schemas.microsoft.com/office/drawing/2010/slicer">
              <sle:slicer xmlns:sle="http://schemas.microsoft.com/office/drawing/2010/slicer" name="Months (Sale Date)"/>
            </a:graphicData>
          </a:graphic>
        </xdr:graphicFrame>
      </mc:Choice>
      <mc:Fallback xmlns="">
        <xdr:sp macro="" textlink="">
          <xdr:nvSpPr>
            <xdr:cNvPr id="0" name=""/>
            <xdr:cNvSpPr>
              <a:spLocks noTextEdit="1"/>
            </xdr:cNvSpPr>
          </xdr:nvSpPr>
          <xdr:spPr>
            <a:xfrm>
              <a:off x="6375400" y="381000"/>
              <a:ext cx="1828800" cy="3790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6350</xdr:colOff>
      <xdr:row>2</xdr:row>
      <xdr:rowOff>0</xdr:rowOff>
    </xdr:from>
    <xdr:to>
      <xdr:col>10</xdr:col>
      <xdr:colOff>6350</xdr:colOff>
      <xdr:row>15</xdr:row>
      <xdr:rowOff>127000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A77F9B09-6B5D-5153-31EF-EC6FA536731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965950" y="368300"/>
              <a:ext cx="1828800" cy="281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12700</xdr:colOff>
      <xdr:row>2</xdr:row>
      <xdr:rowOff>31751</xdr:rowOff>
    </xdr:from>
    <xdr:to>
      <xdr:col>18</xdr:col>
      <xdr:colOff>12700</xdr:colOff>
      <xdr:row>8</xdr:row>
      <xdr:rowOff>82551</xdr:rowOff>
    </xdr:to>
    <mc:AlternateContent xmlns:mc="http://schemas.openxmlformats.org/markup-compatibility/2006" xmlns:a14="http://schemas.microsoft.com/office/drawing/2010/main">
      <mc:Choice Requires="a14">
        <xdr:graphicFrame macro="">
          <xdr:nvGraphicFramePr>
            <xdr:cNvPr id="3" name="Sale Year 1">
              <a:extLst>
                <a:ext uri="{FF2B5EF4-FFF2-40B4-BE49-F238E27FC236}">
                  <a16:creationId xmlns:a16="http://schemas.microsoft.com/office/drawing/2014/main" id="{E97743D1-C728-8E9A-1E61-E7EFC3E0FF4D}"/>
                </a:ext>
              </a:extLst>
            </xdr:cNvPr>
            <xdr:cNvGraphicFramePr/>
          </xdr:nvGraphicFramePr>
          <xdr:xfrm>
            <a:off x="0" y="0"/>
            <a:ext cx="0" cy="0"/>
          </xdr:xfrm>
          <a:graphic>
            <a:graphicData uri="http://schemas.microsoft.com/office/drawing/2010/slicer">
              <sle:slicer xmlns:sle="http://schemas.microsoft.com/office/drawing/2010/slicer" name="Sale Year 1"/>
            </a:graphicData>
          </a:graphic>
        </xdr:graphicFrame>
      </mc:Choice>
      <mc:Fallback xmlns="">
        <xdr:sp macro="" textlink="">
          <xdr:nvSpPr>
            <xdr:cNvPr id="0" name=""/>
            <xdr:cNvSpPr>
              <a:spLocks noTextEdit="1"/>
            </xdr:cNvSpPr>
          </xdr:nvSpPr>
          <xdr:spPr>
            <a:xfrm>
              <a:off x="11849100" y="400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2</xdr:row>
      <xdr:rowOff>25400</xdr:rowOff>
    </xdr:from>
    <xdr:to>
      <xdr:col>14</xdr:col>
      <xdr:colOff>0</xdr:colOff>
      <xdr:row>15</xdr:row>
      <xdr:rowOff>155575</xdr:rowOff>
    </xdr:to>
    <mc:AlternateContent xmlns:mc="http://schemas.openxmlformats.org/markup-compatibility/2006" xmlns:a14="http://schemas.microsoft.com/office/drawing/2010/main">
      <mc:Choice Requires="a14">
        <xdr:graphicFrame macro="">
          <xdr:nvGraphicFramePr>
            <xdr:cNvPr id="4" name="Sale Month">
              <a:extLst>
                <a:ext uri="{FF2B5EF4-FFF2-40B4-BE49-F238E27FC236}">
                  <a16:creationId xmlns:a16="http://schemas.microsoft.com/office/drawing/2014/main" id="{370ED101-8EAC-A69D-0EDF-D7460B7FFCBC}"/>
                </a:ext>
              </a:extLst>
            </xdr:cNvPr>
            <xdr:cNvGraphicFramePr/>
          </xdr:nvGraphicFramePr>
          <xdr:xfrm>
            <a:off x="0" y="0"/>
            <a:ext cx="0" cy="0"/>
          </xdr:xfrm>
          <a:graphic>
            <a:graphicData uri="http://schemas.microsoft.com/office/drawing/2010/slicer">
              <sle:slicer xmlns:sle="http://schemas.microsoft.com/office/drawing/2010/slicer" name="Sale Month"/>
            </a:graphicData>
          </a:graphic>
        </xdr:graphicFrame>
      </mc:Choice>
      <mc:Fallback xmlns="">
        <xdr:sp macro="" textlink="">
          <xdr:nvSpPr>
            <xdr:cNvPr id="0" name=""/>
            <xdr:cNvSpPr>
              <a:spLocks noTextEdit="1"/>
            </xdr:cNvSpPr>
          </xdr:nvSpPr>
          <xdr:spPr>
            <a:xfrm>
              <a:off x="9398000" y="393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7.554247569446" createdVersion="8" refreshedVersion="8" minRefreshableVersion="3" recordCount="551" xr:uid="{F4DD8ADF-7681-4A9E-9603-D16E99117497}">
  <cacheSource type="worksheet">
    <worksheetSource ref="A1:L1048576" sheet="Cleaned_Data"/>
  </cacheSource>
  <cacheFields count="15">
    <cacheField name="Customer Name" numFmtId="0">
      <sharedItems containsBlank="1"/>
    </cacheField>
    <cacheField name="State" numFmtId="0">
      <sharedItems containsBlank="1" count="21">
        <s v="Rivers"/>
        <s v="Lagos"/>
        <s v="Anambra"/>
        <s v="Delta"/>
        <s v="Oyo"/>
        <s v="Imo"/>
        <s v="Kano"/>
        <s v="Plateau"/>
        <s v="Niger"/>
        <s v="Abuja"/>
        <s v="Enugu"/>
        <s v="Bauchi"/>
        <s v="Katsina"/>
        <s v="Ekiti"/>
        <s v="Kaduna"/>
        <s v="Sokoto"/>
        <s v="Benue"/>
        <s v="Osun"/>
        <s v="Borno"/>
        <s v="Cross River"/>
        <m/>
      </sharedItems>
    </cacheField>
    <cacheField name="Product" numFmtId="0">
      <sharedItems containsBlank="1" count="9">
        <s v="Keyboard"/>
        <s v="Headphones"/>
        <s v="Tablet"/>
        <s v="Camera"/>
        <s v="Laptop"/>
        <s v="Charger"/>
        <s v="Monitor"/>
        <s v="Phone"/>
        <m/>
      </sharedItems>
    </cacheField>
    <cacheField name="Units Sold" numFmtId="0">
      <sharedItems containsString="0" containsBlank="1" containsNumber="1" containsInteger="1" minValue="1" maxValue="100"/>
    </cacheField>
    <cacheField name="Unit Price" numFmtId="0">
      <sharedItems containsString="0" containsBlank="1" containsNumber="1" minValue="0" maxValue="299437.8"/>
    </cacheField>
    <cacheField name="Total Sale" numFmtId="0">
      <sharedItems containsString="0" containsBlank="1" containsNumber="1" minValue="0" maxValue="28734589.799999997"/>
    </cacheField>
    <cacheField name="Sale Date" numFmtId="0">
      <sharedItems containsNonDate="0" containsDate="1" containsString="0" containsBlank="1" minDate="2023-07-15T00:00:00" maxDate="2025-07-11T00:00:00" count="394">
        <d v="2025-04-27T00:00:00"/>
        <d v="2024-03-15T00:00:00"/>
        <d v="2024-12-10T00:00:00"/>
        <d v="2024-04-05T00:00:00"/>
        <d v="2025-01-12T00:00:00"/>
        <d v="2023-08-30T00:00:00"/>
        <d v="2024-09-10T00:00:00"/>
        <d v="2024-09-04T00:00:00"/>
        <d v="2024-02-21T00:00:00"/>
        <d v="2025-06-02T00:00:00"/>
        <d v="2024-02-28T00:00:00"/>
        <d v="2025-05-02T00:00:00"/>
        <d v="2023-11-10T00:00:00"/>
        <d v="2025-01-13T00:00:00"/>
        <d v="2025-06-30T00:00:00"/>
        <d v="2025-01-04T00:00:00"/>
        <d v="2024-11-17T00:00:00"/>
        <d v="2023-11-23T00:00:00"/>
        <d v="2025-03-18T00:00:00"/>
        <d v="2024-04-16T00:00:00"/>
        <d v="2024-08-09T00:00:00"/>
        <d v="2024-01-01T00:00:00"/>
        <d v="2023-10-13T00:00:00"/>
        <d v="2023-12-14T00:00:00"/>
        <d v="2025-03-17T00:00:00"/>
        <d v="2023-10-26T00:00:00"/>
        <d v="2024-01-10T00:00:00"/>
        <d v="2025-03-15T00:00:00"/>
        <d v="2024-07-28T00:00:00"/>
        <d v="2023-07-31T00:00:00"/>
        <d v="2024-09-13T00:00:00"/>
        <d v="2024-09-27T00:00:00"/>
        <d v="2024-04-22T00:00:00"/>
        <d v="2024-07-08T00:00:00"/>
        <d v="2025-03-26T00:00:00"/>
        <d v="2024-09-11T00:00:00"/>
        <d v="2023-10-19T00:00:00"/>
        <d v="2024-10-28T00:00:00"/>
        <d v="2025-05-27T00:00:00"/>
        <d v="2023-09-15T00:00:00"/>
        <d v="2023-08-31T00:00:00"/>
        <d v="2024-03-07T00:00:00"/>
        <d v="2024-05-15T00:00:00"/>
        <d v="2025-01-17T00:00:00"/>
        <d v="2025-01-19T00:00:00"/>
        <d v="2024-07-16T00:00:00"/>
        <d v="2024-08-22T00:00:00"/>
        <d v="2024-05-25T00:00:00"/>
        <d v="2025-02-27T00:00:00"/>
        <d v="2024-05-24T00:00:00"/>
        <d v="2025-04-10T00:00:00"/>
        <d v="2024-09-29T00:00:00"/>
        <d v="2023-09-06T00:00:00"/>
        <d v="2023-10-16T00:00:00"/>
        <d v="2024-03-13T00:00:00"/>
        <d v="2024-11-20T00:00:00"/>
        <d v="2024-06-24T00:00:00"/>
        <d v="2024-07-06T00:00:00"/>
        <d v="2024-12-20T00:00:00"/>
        <d v="2024-08-15T00:00:00"/>
        <d v="2024-04-03T00:00:00"/>
        <d v="2023-10-18T00:00:00"/>
        <d v="2025-05-22T00:00:00"/>
        <d v="2025-04-14T00:00:00"/>
        <d v="2025-03-08T00:00:00"/>
        <d v="2024-11-18T00:00:00"/>
        <d v="2024-10-09T00:00:00"/>
        <d v="2023-11-29T00:00:00"/>
        <d v="2025-02-26T00:00:00"/>
        <d v="2024-06-11T00:00:00"/>
        <d v="2024-08-04T00:00:00"/>
        <d v="2025-06-17T00:00:00"/>
        <d v="2025-05-15T00:00:00"/>
        <d v="2023-08-23T00:00:00"/>
        <d v="2025-04-16T00:00:00"/>
        <d v="2023-10-15T00:00:00"/>
        <d v="2024-08-16T00:00:00"/>
        <d v="2023-11-06T00:00:00"/>
        <d v="2024-03-03T00:00:00"/>
        <d v="2023-11-15T00:00:00"/>
        <d v="2023-11-13T00:00:00"/>
        <d v="2024-03-17T00:00:00"/>
        <d v="2025-07-06T00:00:00"/>
        <d v="2025-01-11T00:00:00"/>
        <d v="2024-01-02T00:00:00"/>
        <d v="2024-04-04T00:00:00"/>
        <d v="2025-07-10T00:00:00"/>
        <d v="2024-08-17T00:00:00"/>
        <d v="2025-06-05T00:00:00"/>
        <d v="2024-02-16T00:00:00"/>
        <d v="2025-04-28T00:00:00"/>
        <d v="2023-09-10T00:00:00"/>
        <d v="2024-01-21T00:00:00"/>
        <d v="2023-12-10T00:00:00"/>
        <d v="2024-11-15T00:00:00"/>
        <d v="2024-02-09T00:00:00"/>
        <d v="2024-11-07T00:00:00"/>
        <d v="2024-03-02T00:00:00"/>
        <d v="2024-10-30T00:00:00"/>
        <d v="2024-08-28T00:00:00"/>
        <d v="2023-09-21T00:00:00"/>
        <d v="2024-11-19T00:00:00"/>
        <d v="2023-11-18T00:00:00"/>
        <d v="2024-10-12T00:00:00"/>
        <d v="2024-10-04T00:00:00"/>
        <d v="2023-11-07T00:00:00"/>
        <d v="2023-11-20T00:00:00"/>
        <d v="2024-12-03T00:00:00"/>
        <d v="2025-01-20T00:00:00"/>
        <d v="2025-06-10T00:00:00"/>
        <d v="2024-10-23T00:00:00"/>
        <d v="2024-03-29T00:00:00"/>
        <d v="2025-04-25T00:00:00"/>
        <d v="2025-06-27T00:00:00"/>
        <d v="2024-09-20T00:00:00"/>
        <d v="2023-08-11T00:00:00"/>
        <d v="2025-04-11T00:00:00"/>
        <d v="2025-05-11T00:00:00"/>
        <d v="2023-08-02T00:00:00"/>
        <d v="2023-09-12T00:00:00"/>
        <d v="2023-08-15T00:00:00"/>
        <d v="2025-02-28T00:00:00"/>
        <d v="2024-09-30T00:00:00"/>
        <d v="2024-02-01T00:00:00"/>
        <d v="2024-11-27T00:00:00"/>
        <d v="2023-12-21T00:00:00"/>
        <d v="2025-02-25T00:00:00"/>
        <d v="2024-05-29T00:00:00"/>
        <d v="2024-11-02T00:00:00"/>
        <d v="2023-08-03T00:00:00"/>
        <d v="2024-07-31T00:00:00"/>
        <d v="2025-05-31T00:00:00"/>
        <d v="2024-11-09T00:00:00"/>
        <d v="2024-09-06T00:00:00"/>
        <d v="2024-02-20T00:00:00"/>
        <d v="2024-03-01T00:00:00"/>
        <d v="2024-07-20T00:00:00"/>
        <d v="2024-01-17T00:00:00"/>
        <d v="2025-03-27T00:00:00"/>
        <d v="2025-03-29T00:00:00"/>
        <d v="2024-12-24T00:00:00"/>
        <d v="2024-05-21T00:00:00"/>
        <d v="2024-02-27T00:00:00"/>
        <d v="2024-06-27T00:00:00"/>
        <d v="2023-09-05T00:00:00"/>
        <d v="2024-12-26T00:00:00"/>
        <d v="2023-08-26T00:00:00"/>
        <d v="2024-06-16T00:00:00"/>
        <d v="2024-05-28T00:00:00"/>
        <d v="2024-07-21T00:00:00"/>
        <d v="2024-07-05T00:00:00"/>
        <d v="2023-12-16T00:00:00"/>
        <d v="2024-03-31T00:00:00"/>
        <d v="2024-10-24T00:00:00"/>
        <d v="2023-10-30T00:00:00"/>
        <d v="2024-03-09T00:00:00"/>
        <d v="2025-05-10T00:00:00"/>
        <d v="2025-01-18T00:00:00"/>
        <d v="2025-01-31T00:00:00"/>
        <d v="2025-05-09T00:00:00"/>
        <d v="2023-10-20T00:00:00"/>
        <d v="2025-02-20T00:00:00"/>
        <d v="2024-04-23T00:00:00"/>
        <d v="2024-08-13T00:00:00"/>
        <d v="2024-09-19T00:00:00"/>
        <d v="2023-10-01T00:00:00"/>
        <d v="2024-03-14T00:00:00"/>
        <d v="2024-01-14T00:00:00"/>
        <d v="2024-07-07T00:00:00"/>
        <d v="2023-10-14T00:00:00"/>
        <d v="2024-02-03T00:00:00"/>
        <d v="2024-01-19T00:00:00"/>
        <d v="2023-10-28T00:00:00"/>
        <d v="2023-09-24T00:00:00"/>
        <d v="2023-08-19T00:00:00"/>
        <d v="2024-05-04T00:00:00"/>
        <d v="2025-05-12T00:00:00"/>
        <d v="2024-05-30T00:00:00"/>
        <d v="2025-05-13T00:00:00"/>
        <d v="2023-11-12T00:00:00"/>
        <d v="2025-04-02T00:00:00"/>
        <d v="2024-03-21T00:00:00"/>
        <d v="2025-07-05T00:00:00"/>
        <d v="2024-10-01T00:00:00"/>
        <d v="2025-01-21T00:00:00"/>
        <d v="2023-12-05T00:00:00"/>
        <d v="2025-02-22T00:00:00"/>
        <d v="2023-11-11T00:00:00"/>
        <d v="2024-08-01T00:00:00"/>
        <d v="2025-05-23T00:00:00"/>
        <d v="2024-03-06T00:00:00"/>
        <d v="2023-07-29T00:00:00"/>
        <d v="2023-09-18T00:00:00"/>
        <d v="2024-05-11T00:00:00"/>
        <d v="2024-08-06T00:00:00"/>
        <d v="2024-06-30T00:00:00"/>
        <d v="2024-01-13T00:00:00"/>
        <d v="2023-12-25T00:00:00"/>
        <d v="2024-10-06T00:00:00"/>
        <d v="2024-04-10T00:00:00"/>
        <d v="2023-08-17T00:00:00"/>
        <d v="2024-02-14T00:00:00"/>
        <d v="2024-07-29T00:00:00"/>
        <d v="2024-10-17T00:00:00"/>
        <d v="2025-05-26T00:00:00"/>
        <d v="2024-11-30T00:00:00"/>
        <d v="2024-12-14T00:00:00"/>
        <d v="2024-07-10T00:00:00"/>
        <d v="2024-02-17T00:00:00"/>
        <d v="2024-08-30T00:00:00"/>
        <d v="2023-07-17T00:00:00"/>
        <d v="2025-04-29T00:00:00"/>
        <d v="2023-10-02T00:00:00"/>
        <d v="2024-06-09T00:00:00"/>
        <d v="2023-10-23T00:00:00"/>
        <d v="2025-01-26T00:00:00"/>
        <d v="2024-04-20T00:00:00"/>
        <d v="2025-02-23T00:00:00"/>
        <d v="2024-05-19T00:00:00"/>
        <d v="2024-05-17T00:00:00"/>
        <d v="2024-09-25T00:00:00"/>
        <d v="2023-12-09T00:00:00"/>
        <d v="2024-04-17T00:00:00"/>
        <d v="2024-09-12T00:00:00"/>
        <d v="2024-05-06T00:00:00"/>
        <d v="2024-08-05T00:00:00"/>
        <d v="2024-02-13T00:00:00"/>
        <d v="2025-04-12T00:00:00"/>
        <d v="2024-11-06T00:00:00"/>
        <d v="2024-10-27T00:00:00"/>
        <d v="2023-10-11T00:00:00"/>
        <d v="2024-04-25T00:00:00"/>
        <d v="2025-03-19T00:00:00"/>
        <d v="2024-03-30T00:00:00"/>
        <d v="2024-09-16T00:00:00"/>
        <d v="2025-07-09T00:00:00"/>
        <d v="2024-04-19T00:00:00"/>
        <d v="2025-02-16T00:00:00"/>
        <d v="2023-10-31T00:00:00"/>
        <d v="2023-12-12T00:00:00"/>
        <d v="2024-10-20T00:00:00"/>
        <d v="2024-08-02T00:00:00"/>
        <d v="2023-08-10T00:00:00"/>
        <d v="2023-10-25T00:00:00"/>
        <d v="2025-01-15T00:00:00"/>
        <d v="2024-03-25T00:00:00"/>
        <d v="2024-07-12T00:00:00"/>
        <d v="2024-06-29T00:00:00"/>
        <d v="2023-11-03T00:00:00"/>
        <d v="2025-06-03T00:00:00"/>
        <d v="2024-08-14T00:00:00"/>
        <d v="2023-10-27T00:00:00"/>
        <d v="2025-07-03T00:00:00"/>
        <d v="2024-10-29T00:00:00"/>
        <d v="2023-11-14T00:00:00"/>
        <d v="2024-10-31T00:00:00"/>
        <d v="2025-02-04T00:00:00"/>
        <d v="2024-10-14T00:00:00"/>
        <d v="2024-03-28T00:00:00"/>
        <d v="2024-08-08T00:00:00"/>
        <d v="2024-08-27T00:00:00"/>
        <d v="2024-07-25T00:00:00"/>
        <d v="2024-07-13T00:00:00"/>
        <d v="2025-04-04T00:00:00"/>
        <d v="2023-07-23T00:00:00"/>
        <d v="2024-03-24T00:00:00"/>
        <d v="2024-12-15T00:00:00"/>
        <d v="2023-10-04T00:00:00"/>
        <d v="2024-03-05T00:00:00"/>
        <d v="2025-03-20T00:00:00"/>
        <d v="2025-06-08T00:00:00"/>
        <d v="2025-01-24T00:00:00"/>
        <d v="2025-05-18T00:00:00"/>
        <d v="2024-11-10T00:00:00"/>
        <d v="2024-10-16T00:00:00"/>
        <d v="2024-02-02T00:00:00"/>
        <d v="2024-12-01T00:00:00"/>
        <d v="2025-03-10T00:00:00"/>
        <d v="2025-03-04T00:00:00"/>
        <d v="2024-10-02T00:00:00"/>
        <d v="2024-01-03T00:00:00"/>
        <d v="2024-07-18T00:00:00"/>
        <d v="2024-08-21T00:00:00"/>
        <d v="2024-11-03T00:00:00"/>
        <d v="2025-03-03T00:00:00"/>
        <d v="2025-04-24T00:00:00"/>
        <d v="2024-05-01T00:00:00"/>
        <d v="2023-11-02T00:00:00"/>
        <d v="2025-04-09T00:00:00"/>
        <d v="2024-01-15T00:00:00"/>
        <d v="2023-08-04T00:00:00"/>
        <d v="2025-01-05T00:00:00"/>
        <d v="2023-12-06T00:00:00"/>
        <d v="2023-07-25T00:00:00"/>
        <d v="2024-06-17T00:00:00"/>
        <d v="2024-03-10T00:00:00"/>
        <d v="2024-05-31T00:00:00"/>
        <d v="2023-11-05T00:00:00"/>
        <d v="2024-05-26T00:00:00"/>
        <d v="2024-12-28T00:00:00"/>
        <d v="2024-08-03T00:00:00"/>
        <d v="2025-06-24T00:00:00"/>
        <d v="2024-07-11T00:00:00"/>
        <d v="2025-02-01T00:00:00"/>
        <d v="2025-01-25T00:00:00"/>
        <d v="2023-08-28T00:00:00"/>
        <d v="2025-01-09T00:00:00"/>
        <d v="2023-12-19T00:00:00"/>
        <d v="2024-09-18T00:00:00"/>
        <d v="2024-03-19T00:00:00"/>
        <d v="2024-12-06T00:00:00"/>
        <d v="2024-04-28T00:00:00"/>
        <d v="2023-11-22T00:00:00"/>
        <d v="2024-07-02T00:00:00"/>
        <d v="2025-06-18T00:00:00"/>
        <d v="2024-04-01T00:00:00"/>
        <d v="2024-09-07T00:00:00"/>
        <d v="2024-04-11T00:00:00"/>
        <d v="2024-12-16T00:00:00"/>
        <d v="2025-03-01T00:00:00"/>
        <d v="2025-05-14T00:00:00"/>
        <d v="2024-11-21T00:00:00"/>
        <d v="2024-12-30T00:00:00"/>
        <d v="2024-10-26T00:00:00"/>
        <d v="2023-12-07T00:00:00"/>
        <d v="2024-01-18T00:00:00"/>
        <d v="2024-02-12T00:00:00"/>
        <d v="2025-01-08T00:00:00"/>
        <d v="2023-12-18T00:00:00"/>
        <d v="2024-07-24T00:00:00"/>
        <d v="2024-07-17T00:00:00"/>
        <d v="2024-04-06T00:00:00"/>
        <d v="2024-02-08T00:00:00"/>
        <d v="2024-02-19T00:00:00"/>
        <d v="2024-09-28T00:00:00"/>
        <d v="2024-12-17T00:00:00"/>
        <d v="2024-04-30T00:00:00"/>
        <d v="2024-05-12T00:00:00"/>
        <d v="2025-04-06T00:00:00"/>
        <d v="2025-03-02T00:00:00"/>
        <d v="2023-11-01T00:00:00"/>
        <d v="2023-08-12T00:00:00"/>
        <d v="2024-06-18T00:00:00"/>
        <d v="2024-01-26T00:00:00"/>
        <d v="2025-02-10T00:00:00"/>
        <d v="2023-12-24T00:00:00"/>
        <d v="2024-09-01T00:00:00"/>
        <d v="2024-02-06T00:00:00"/>
        <d v="2025-07-04T00:00:00"/>
        <d v="2025-01-01T00:00:00"/>
        <d v="2023-10-03T00:00:00"/>
        <d v="2025-02-05T00:00:00"/>
        <d v="2024-10-08T00:00:00"/>
        <d v="2024-01-12T00:00:00"/>
        <d v="2024-12-12T00:00:00"/>
        <d v="2025-06-13T00:00:00"/>
        <d v="2024-08-26T00:00:00"/>
        <d v="2024-01-07T00:00:00"/>
        <d v="2023-08-20T00:00:00"/>
        <d v="2023-09-26T00:00:00"/>
        <d v="2024-05-27T00:00:00"/>
        <d v="2024-03-23T00:00:00"/>
        <d v="2023-09-27T00:00:00"/>
        <d v="2024-12-21T00:00:00"/>
        <d v="2023-07-15T00:00:00"/>
        <d v="2025-07-01T00:00:00"/>
        <d v="2024-05-22T00:00:00"/>
        <d v="2024-11-29T00:00:00"/>
        <d v="2025-05-25T00:00:00"/>
        <d v="2024-07-14T00:00:00"/>
        <d v="2024-07-15T00:00:00"/>
        <d v="2025-02-17T00:00:00"/>
        <d v="2024-03-16T00:00:00"/>
        <d v="2024-11-23T00:00:00"/>
        <d v="2023-08-25T00:00:00"/>
        <d v="2025-06-15T00:00:00"/>
        <d v="2024-11-28T00:00:00"/>
        <d v="2024-08-29T00:00:00"/>
        <d v="2025-02-03T00:00:00"/>
        <d v="2025-01-22T00:00:00"/>
        <d v="2025-05-01T00:00:00"/>
        <d v="2025-07-07T00:00:00"/>
        <d v="2023-08-08T00:00:00"/>
        <d v="2025-06-19T00:00:00"/>
        <d v="2025-06-25T00:00:00"/>
        <d v="2025-04-21T00:00:00"/>
        <d v="2023-11-24T00:00:00"/>
        <d v="2025-04-20T00:00:00"/>
        <d v="2024-05-14T00:00:00"/>
        <d v="2025-03-14T00:00:00"/>
        <d v="2023-12-02T00:00:00"/>
        <d v="2025-02-11T00:00:00"/>
        <d v="2025-06-29T00:00:00"/>
        <m/>
      </sharedItems>
      <fieldGroup par="14"/>
    </cacheField>
    <cacheField name="Sale Year" numFmtId="0">
      <sharedItems containsString="0" containsBlank="1" containsNumber="1" containsInteger="1" minValue="2023" maxValue="2025" count="4">
        <n v="2025"/>
        <n v="2024"/>
        <n v="2023"/>
        <m/>
      </sharedItems>
    </cacheField>
    <cacheField name="Sale Month" numFmtId="0">
      <sharedItems containsBlank="1" count="26">
        <s v="Apr-2025"/>
        <s v="Mar-2024"/>
        <s v="Dec-2024"/>
        <s v="Apr-2024"/>
        <s v="Jan-2025"/>
        <s v="Aug-2023"/>
        <s v="Sep-2024"/>
        <s v="Feb-2024"/>
        <s v="Jun-2025"/>
        <s v="May-2025"/>
        <s v="Nov-2023"/>
        <s v="Nov-2024"/>
        <s v="Mar-2025"/>
        <s v="Aug-2024"/>
        <s v="Jan-2024"/>
        <s v="Oct-2023"/>
        <s v="Dec-2023"/>
        <s v="Jul-2024"/>
        <s v="Jul-2023"/>
        <s v="Oct-2024"/>
        <s v="Sep-2023"/>
        <s v="May-2024"/>
        <s v="Feb-2025"/>
        <s v="Jun-2024"/>
        <s v="Jul-2025"/>
        <m/>
      </sharedItems>
    </cacheField>
    <cacheField name="Sale Week Number" numFmtId="0">
      <sharedItems containsString="0" containsBlank="1" containsNumber="1" containsInteger="1" minValue="1" maxValue="53"/>
    </cacheField>
    <cacheField name="Sales Channel" numFmtId="0">
      <sharedItems containsBlank="1" count="5">
        <s v="Online"/>
        <s v="Wholesale"/>
        <s v="Retail"/>
        <s v="Direct"/>
        <m/>
      </sharedItems>
    </cacheField>
    <cacheField name="Order ID" numFmtId="0">
      <sharedItems containsBlank="1"/>
    </cacheField>
    <cacheField name="Months (Sale Date)" numFmtId="0" databaseField="0">
      <fieldGroup base="6">
        <rangePr groupBy="months" startDate="2023-07-15T00:00:00" endDate="2025-07-11T00:00:00"/>
        <groupItems count="14">
          <s v="&lt;15-07-2023"/>
          <s v="Jan"/>
          <s v="Feb"/>
          <s v="Mar"/>
          <s v="Apr"/>
          <s v="May"/>
          <s v="Jun"/>
          <s v="Jul"/>
          <s v="Aug"/>
          <s v="Sep"/>
          <s v="Oct"/>
          <s v="Nov"/>
          <s v="Dec"/>
          <s v="&gt;11-07-2025"/>
        </groupItems>
      </fieldGroup>
    </cacheField>
    <cacheField name="Quarters (Sale Date)" numFmtId="0" databaseField="0">
      <fieldGroup base="6">
        <rangePr groupBy="quarters" startDate="2023-07-15T00:00:00" endDate="2025-07-11T00:00:00"/>
        <groupItems count="6">
          <s v="&lt;15-07-2023"/>
          <s v="Qtr1"/>
          <s v="Qtr2"/>
          <s v="Qtr3"/>
          <s v="Qtr4"/>
          <s v="&gt;11-07-2025"/>
        </groupItems>
      </fieldGroup>
    </cacheField>
    <cacheField name="Years (Sale Date)" numFmtId="0" databaseField="0">
      <fieldGroup base="6">
        <rangePr groupBy="years" startDate="2023-07-15T00:00:00" endDate="2025-07-11T00:00:00"/>
        <groupItems count="5">
          <s v="&lt;15-07-2023"/>
          <s v="2023"/>
          <s v="2024"/>
          <s v="2025"/>
          <s v="&gt;11-07-2025"/>
        </groupItems>
      </fieldGroup>
    </cacheField>
  </cacheFields>
  <extLst>
    <ext xmlns:x14="http://schemas.microsoft.com/office/spreadsheetml/2009/9/main" uri="{725AE2AE-9491-48be-B2B4-4EB974FC3084}">
      <x14:pivotCacheDefinition pivotCacheId="2943136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1">
  <r>
    <s v="Unknown Customer"/>
    <x v="0"/>
    <x v="0"/>
    <n v="1"/>
    <n v="0"/>
    <n v="0"/>
    <x v="0"/>
    <x v="0"/>
    <x v="0"/>
    <n v="18"/>
    <x v="0"/>
    <s v="MIS-0002"/>
  </r>
  <r>
    <s v="Allison Hill"/>
    <x v="1"/>
    <x v="1"/>
    <n v="1"/>
    <n v="267992.94"/>
    <n v="267992.94"/>
    <x v="1"/>
    <x v="1"/>
    <x v="1"/>
    <n v="11"/>
    <x v="1"/>
    <s v="4c636e95-025f-4543-8997-623ae0723d96"/>
  </r>
  <r>
    <s v="Noah Rhodes"/>
    <x v="2"/>
    <x v="0"/>
    <n v="1"/>
    <n v="42364.41"/>
    <n v="42364.41"/>
    <x v="2"/>
    <x v="1"/>
    <x v="2"/>
    <n v="50"/>
    <x v="2"/>
    <s v="edaf3766-1b78-4ede-9a4f-fc0c9165f2ed"/>
  </r>
  <r>
    <s v="Angie Henderson"/>
    <x v="3"/>
    <x v="0"/>
    <n v="1"/>
    <n v="279444.94"/>
    <n v="279444.94"/>
    <x v="3"/>
    <x v="1"/>
    <x v="3"/>
    <n v="14"/>
    <x v="2"/>
    <s v="74503887-48d9-4846-95c5-51fcfba57cc8"/>
  </r>
  <r>
    <s v="Daniel Wagner"/>
    <x v="3"/>
    <x v="2"/>
    <n v="1"/>
    <n v="95899.74"/>
    <n v="95899.74"/>
    <x v="4"/>
    <x v="0"/>
    <x v="4"/>
    <n v="3"/>
    <x v="2"/>
    <s v="8639bd41-8b15-4d94-a42d-0cd7fd359f6a"/>
  </r>
  <r>
    <s v="Cristian Santos"/>
    <x v="4"/>
    <x v="3"/>
    <n v="1"/>
    <n v="118189.9"/>
    <n v="118189.9"/>
    <x v="5"/>
    <x v="2"/>
    <x v="5"/>
    <n v="35"/>
    <x v="3"/>
    <s v="225aed6c-f045-4043-a3a6-8a707e710b55"/>
  </r>
  <r>
    <s v="Connie Lawrence"/>
    <x v="0"/>
    <x v="2"/>
    <n v="36"/>
    <n v="185141.9"/>
    <n v="6665108.3999999994"/>
    <x v="6"/>
    <x v="1"/>
    <x v="6"/>
    <n v="37"/>
    <x v="1"/>
    <s v="45d8a6ad-77d0-459e-8114-14f8d9df0d0e"/>
  </r>
  <r>
    <s v="Abigail Shaffer"/>
    <x v="5"/>
    <x v="0"/>
    <n v="1"/>
    <n v="252859.28"/>
    <n v="252859.28"/>
    <x v="7"/>
    <x v="1"/>
    <x v="6"/>
    <n v="36"/>
    <x v="0"/>
    <s v="54a7b69b-1cd6-4b09-8f0e-6d2b315c167a"/>
  </r>
  <r>
    <s v="Gina Moore"/>
    <x v="6"/>
    <x v="3"/>
    <n v="1"/>
    <n v="178320.53"/>
    <n v="178320.53"/>
    <x v="8"/>
    <x v="1"/>
    <x v="7"/>
    <n v="8"/>
    <x v="1"/>
    <s v="a5f60735-757b-4b29-bb2a-a1462999394c"/>
  </r>
  <r>
    <s v="Gabrielle Davis"/>
    <x v="7"/>
    <x v="2"/>
    <n v="1"/>
    <n v="152440.84"/>
    <n v="152440.84"/>
    <x v="9"/>
    <x v="0"/>
    <x v="8"/>
    <n v="23"/>
    <x v="3"/>
    <s v="039b058c-2faa-4e0b-b7f6-0cdf41dc1c60"/>
  </r>
  <r>
    <s v="Ryan Munoz"/>
    <x v="8"/>
    <x v="0"/>
    <n v="1"/>
    <n v="0"/>
    <n v="0"/>
    <x v="10"/>
    <x v="1"/>
    <x v="7"/>
    <n v="9"/>
    <x v="3"/>
    <s v="4b86b5a1-ca6f-4ff8-964c-fbd2bc92fd81"/>
  </r>
  <r>
    <s v="Monica Herrera"/>
    <x v="9"/>
    <x v="4"/>
    <n v="3"/>
    <n v="153159.37"/>
    <n v="459478.11"/>
    <x v="11"/>
    <x v="0"/>
    <x v="9"/>
    <n v="18"/>
    <x v="2"/>
    <s v="317304b5-c1dd-484a-aca5-8d95915a1c30"/>
  </r>
  <r>
    <s v="Jamie Arnold"/>
    <x v="1"/>
    <x v="2"/>
    <n v="43"/>
    <n v="147209.07"/>
    <n v="6329990.0100000007"/>
    <x v="12"/>
    <x v="2"/>
    <x v="10"/>
    <n v="45"/>
    <x v="1"/>
    <s v="a383889a-db2c-4ac8-9c67-83932ced3c0d"/>
  </r>
  <r>
    <s v="Unknown Customer"/>
    <x v="6"/>
    <x v="3"/>
    <n v="1"/>
    <n v="169095.82"/>
    <n v="169095.82"/>
    <x v="13"/>
    <x v="0"/>
    <x v="4"/>
    <n v="3"/>
    <x v="2"/>
    <s v="6d7df5d0-d3b5-4af7-a7ce-378fe5a4983b"/>
  </r>
  <r>
    <s v="Lisa Hensley"/>
    <x v="10"/>
    <x v="2"/>
    <n v="27"/>
    <n v="142730.32999999999"/>
    <n v="3853718.9099999997"/>
    <x v="4"/>
    <x v="0"/>
    <x v="4"/>
    <n v="3"/>
    <x v="3"/>
    <s v="MIS-0016"/>
  </r>
  <r>
    <s v="Michele Williams"/>
    <x v="3"/>
    <x v="5"/>
    <n v="1"/>
    <n v="5482.77"/>
    <n v="5482.77"/>
    <x v="14"/>
    <x v="0"/>
    <x v="8"/>
    <n v="27"/>
    <x v="3"/>
    <s v="669d01ff-1634-425b-93f3-007383e96ef4"/>
  </r>
  <r>
    <s v="Dylan Miller"/>
    <x v="11"/>
    <x v="5"/>
    <n v="1"/>
    <n v="99706.26"/>
    <n v="99706.26"/>
    <x v="15"/>
    <x v="0"/>
    <x v="4"/>
    <n v="1"/>
    <x v="2"/>
    <s v="fb4fb88a-2f4d-4219-986b-2880ab545a15"/>
  </r>
  <r>
    <s v="Brian Ramirez"/>
    <x v="12"/>
    <x v="4"/>
    <n v="28"/>
    <n v="33326.57"/>
    <n v="933143.96"/>
    <x v="16"/>
    <x v="1"/>
    <x v="11"/>
    <n v="47"/>
    <x v="2"/>
    <s v="ef9240b6-52d7-4f10-ba3a-6e9623ff23d3"/>
  </r>
  <r>
    <s v="Holly Wood"/>
    <x v="1"/>
    <x v="1"/>
    <n v="43"/>
    <n v="125253.81"/>
    <n v="5385913.8300000001"/>
    <x v="17"/>
    <x v="2"/>
    <x v="10"/>
    <n v="47"/>
    <x v="3"/>
    <s v="6231ee73-42c2-42eb-81bf-9e733f800385"/>
  </r>
  <r>
    <s v="Derek Zuniga"/>
    <x v="5"/>
    <x v="1"/>
    <n v="77"/>
    <n v="92649.51"/>
    <n v="7134012.2699999996"/>
    <x v="18"/>
    <x v="0"/>
    <x v="12"/>
    <n v="12"/>
    <x v="0"/>
    <s v="4459bd6e-c0f6-4229-b25d-42593c4b1eec"/>
  </r>
  <r>
    <s v="Lisa Jackson"/>
    <x v="10"/>
    <x v="3"/>
    <n v="36"/>
    <n v="0"/>
    <n v="0"/>
    <x v="19"/>
    <x v="1"/>
    <x v="3"/>
    <n v="16"/>
    <x v="2"/>
    <s v="951c25d5-4d4c-4280-9462-52e7f43ba052"/>
  </r>
  <r>
    <s v="Carla Gray"/>
    <x v="5"/>
    <x v="6"/>
    <n v="1"/>
    <n v="269680.75"/>
    <n v="269680.75"/>
    <x v="20"/>
    <x v="1"/>
    <x v="13"/>
    <n v="32"/>
    <x v="1"/>
    <s v="42f525b9-02ed-43ce-92a8-1713b90ed44b"/>
  </r>
  <r>
    <s v="Margaret Hawkins Dds"/>
    <x v="8"/>
    <x v="1"/>
    <n v="33"/>
    <n v="261693.68"/>
    <n v="8635891.4399999995"/>
    <x v="21"/>
    <x v="1"/>
    <x v="14"/>
    <n v="1"/>
    <x v="2"/>
    <s v="3c7e5368-b159-4847-9c0b-9b10a757cb10"/>
  </r>
  <r>
    <s v="Patty Perez"/>
    <x v="3"/>
    <x v="3"/>
    <n v="1"/>
    <n v="188963.51"/>
    <n v="188963.51"/>
    <x v="22"/>
    <x v="2"/>
    <x v="15"/>
    <n v="41"/>
    <x v="0"/>
    <s v="77242041-1e43-4bd2-aaf4-07f70fe76149"/>
  </r>
  <r>
    <s v="Ethan Adams"/>
    <x v="13"/>
    <x v="4"/>
    <n v="4"/>
    <n v="179274.43"/>
    <n v="717097.72"/>
    <x v="23"/>
    <x v="2"/>
    <x v="16"/>
    <n v="50"/>
    <x v="0"/>
    <s v="afa28559-67c9-4204-a8e3-33b64e8adc4b"/>
  </r>
  <r>
    <s v="Tommy Walter"/>
    <x v="7"/>
    <x v="6"/>
    <n v="1"/>
    <n v="80026.37"/>
    <n v="80026.37"/>
    <x v="24"/>
    <x v="0"/>
    <x v="12"/>
    <n v="12"/>
    <x v="1"/>
    <s v="e346f415-e526-4a2b-ac50-ace480a52e65"/>
  </r>
  <r>
    <s v="Unknown Customer"/>
    <x v="2"/>
    <x v="6"/>
    <n v="1"/>
    <n v="196849.5"/>
    <n v="196849.5"/>
    <x v="25"/>
    <x v="2"/>
    <x v="15"/>
    <n v="43"/>
    <x v="2"/>
    <s v="b0b6dedf-4f9c-4027-8514-4d98b41c504f"/>
  </r>
  <r>
    <s v="Matthew Foster"/>
    <x v="1"/>
    <x v="5"/>
    <n v="42"/>
    <n v="291631.03000000003"/>
    <n v="12248503.260000002"/>
    <x v="26"/>
    <x v="1"/>
    <x v="14"/>
    <n v="2"/>
    <x v="3"/>
    <s v="f0cd7f05-ea87-455e-a382-95d31e0ef546"/>
  </r>
  <r>
    <s v="Judy Baker"/>
    <x v="14"/>
    <x v="0"/>
    <n v="1"/>
    <n v="173753.06"/>
    <n v="173753.06"/>
    <x v="27"/>
    <x v="0"/>
    <x v="12"/>
    <n v="11"/>
    <x v="2"/>
    <s v="MIS-0030"/>
  </r>
  <r>
    <s v="Justin Baker"/>
    <x v="8"/>
    <x v="6"/>
    <n v="7"/>
    <n v="68649.2"/>
    <n v="480544.39999999997"/>
    <x v="28"/>
    <x v="1"/>
    <x v="17"/>
    <n v="31"/>
    <x v="3"/>
    <s v="3889936a-9d58-47e8-9e17-5b664b87959f"/>
  </r>
  <r>
    <s v="Stephanie Ross"/>
    <x v="15"/>
    <x v="7"/>
    <n v="1"/>
    <n v="0"/>
    <n v="0"/>
    <x v="29"/>
    <x v="2"/>
    <x v="18"/>
    <n v="31"/>
    <x v="1"/>
    <s v="7a6a2107-2231-4050-b515-94943818cfd3"/>
  </r>
  <r>
    <s v="Zachary Hicks"/>
    <x v="2"/>
    <x v="3"/>
    <n v="68"/>
    <n v="15880.87"/>
    <n v="1079899.1600000001"/>
    <x v="19"/>
    <x v="1"/>
    <x v="3"/>
    <n v="16"/>
    <x v="1"/>
    <s v="fd247c11-bf6b-4cdf-b479-7b6127372b52"/>
  </r>
  <r>
    <s v="Anthony Rodriguez"/>
    <x v="4"/>
    <x v="6"/>
    <n v="96"/>
    <n v="144394.41"/>
    <n v="13861863.359999999"/>
    <x v="30"/>
    <x v="1"/>
    <x v="6"/>
    <n v="37"/>
    <x v="0"/>
    <s v="b3b26337-6a74-4bb7-9fa5-e0aa9b11b530"/>
  </r>
  <r>
    <s v="Rebecca Henderson"/>
    <x v="10"/>
    <x v="6"/>
    <n v="1"/>
    <n v="157507.57999999999"/>
    <n v="157507.57999999999"/>
    <x v="31"/>
    <x v="1"/>
    <x v="6"/>
    <n v="39"/>
    <x v="0"/>
    <s v="c1e1b94a-7888-4058-a9ad-0e9b8c9aa1e9"/>
  </r>
  <r>
    <s v="James Ferrell"/>
    <x v="15"/>
    <x v="7"/>
    <n v="1"/>
    <n v="216494.26"/>
    <n v="216494.26"/>
    <x v="32"/>
    <x v="1"/>
    <x v="3"/>
    <n v="17"/>
    <x v="0"/>
    <s v="d35ac07a-aa02-47d0-8d4f-8b2b899ac252"/>
  </r>
  <r>
    <s v="Tricia Valencia"/>
    <x v="0"/>
    <x v="6"/>
    <n v="1"/>
    <n v="232494.54"/>
    <n v="232494.54"/>
    <x v="33"/>
    <x v="1"/>
    <x v="17"/>
    <n v="28"/>
    <x v="1"/>
    <s v="ae2ae341-3f59-44f2-8309-3b6e37e9d2e2"/>
  </r>
  <r>
    <s v="Nathan Maldonado"/>
    <x v="6"/>
    <x v="0"/>
    <n v="1"/>
    <n v="114367.01"/>
    <n v="114367.01"/>
    <x v="34"/>
    <x v="0"/>
    <x v="12"/>
    <n v="13"/>
    <x v="3"/>
    <s v="c9912032-df85-4777-9887-4bfec1369c65"/>
  </r>
  <r>
    <s v="Debra Davidson"/>
    <x v="16"/>
    <x v="7"/>
    <n v="65"/>
    <n v="246587.56"/>
    <n v="16028191.4"/>
    <x v="35"/>
    <x v="1"/>
    <x v="6"/>
    <n v="37"/>
    <x v="1"/>
    <s v="87365a84-725e-434d-8687-9aa914f573d0"/>
  </r>
  <r>
    <s v="Jeffrey Chavez"/>
    <x v="0"/>
    <x v="5"/>
    <n v="79"/>
    <n v="73037.87"/>
    <n v="5769991.7299999995"/>
    <x v="36"/>
    <x v="2"/>
    <x v="15"/>
    <n v="42"/>
    <x v="1"/>
    <s v="ead08c89-13fe-4a29-9c9d-eee0b42a0456"/>
  </r>
  <r>
    <s v="Unknown Customer"/>
    <x v="17"/>
    <x v="2"/>
    <n v="1"/>
    <n v="171984.8"/>
    <n v="171984.8"/>
    <x v="37"/>
    <x v="1"/>
    <x v="19"/>
    <n v="44"/>
    <x v="0"/>
    <s v="d42a895e-0fcf-401f-9cb9-b73a906d5c8c"/>
  </r>
  <r>
    <s v="Sherri Baker"/>
    <x v="17"/>
    <x v="6"/>
    <n v="1"/>
    <n v="0"/>
    <n v="0"/>
    <x v="38"/>
    <x v="0"/>
    <x v="9"/>
    <n v="22"/>
    <x v="2"/>
    <s v="33c08bf1-8167-499f-a723-ada38c32bdb2"/>
  </r>
  <r>
    <s v="Cassandra Gaines"/>
    <x v="12"/>
    <x v="6"/>
    <n v="1"/>
    <n v="210306.01"/>
    <n v="210306.01"/>
    <x v="39"/>
    <x v="2"/>
    <x v="20"/>
    <n v="37"/>
    <x v="0"/>
    <s v="2a1f1b61-265c-49d9-8962-8f6e929c93b3"/>
  </r>
  <r>
    <s v="Elizabeth Fowler"/>
    <x v="2"/>
    <x v="3"/>
    <n v="4"/>
    <n v="57639.91"/>
    <n v="230559.64"/>
    <x v="40"/>
    <x v="2"/>
    <x v="5"/>
    <n v="35"/>
    <x v="2"/>
    <s v="MIS-0044"/>
  </r>
  <r>
    <s v="Brittany Farmer"/>
    <x v="9"/>
    <x v="0"/>
    <n v="1"/>
    <n v="132591.04999999999"/>
    <n v="132591.04999999999"/>
    <x v="41"/>
    <x v="1"/>
    <x v="1"/>
    <n v="10"/>
    <x v="3"/>
    <s v="711c7673-8535-4a69-9abf-984e53ff8461"/>
  </r>
  <r>
    <s v="Paula Moreno"/>
    <x v="13"/>
    <x v="3"/>
    <n v="1"/>
    <n v="125924.7"/>
    <n v="125924.7"/>
    <x v="42"/>
    <x v="1"/>
    <x v="21"/>
    <n v="20"/>
    <x v="3"/>
    <s v="b787ef8d-3495-411e-ae27-d4321dc1e7eb"/>
  </r>
  <r>
    <s v="Fred Smith"/>
    <x v="5"/>
    <x v="2"/>
    <n v="1"/>
    <n v="124181.55"/>
    <n v="124181.55"/>
    <x v="43"/>
    <x v="0"/>
    <x v="4"/>
    <n v="3"/>
    <x v="2"/>
    <s v="e61d9cde-1747-4387-bd23-d47995492a82"/>
  </r>
  <r>
    <s v="Sherry Decker"/>
    <x v="0"/>
    <x v="6"/>
    <n v="1"/>
    <n v="61565.56"/>
    <n v="61565.56"/>
    <x v="44"/>
    <x v="0"/>
    <x v="4"/>
    <n v="4"/>
    <x v="2"/>
    <s v="0e3e25f2-cf06-41c7-b20b-274b82a7f586"/>
  </r>
  <r>
    <s v="Anthony Humphrey"/>
    <x v="16"/>
    <x v="0"/>
    <n v="10"/>
    <n v="150794.94"/>
    <n v="1507949.4"/>
    <x v="45"/>
    <x v="1"/>
    <x v="17"/>
    <n v="29"/>
    <x v="2"/>
    <s v="6a5943ce-8364-45e3-a1c7-1aa3741423b5"/>
  </r>
  <r>
    <s v="Angelica Tucker"/>
    <x v="6"/>
    <x v="7"/>
    <n v="1"/>
    <n v="183637.68"/>
    <n v="183637.68"/>
    <x v="46"/>
    <x v="1"/>
    <x v="13"/>
    <n v="34"/>
    <x v="3"/>
    <s v="8f0d5540-0ec7-4662-905c-7bdd74f0beae"/>
  </r>
  <r>
    <s v="Philip Cannon"/>
    <x v="5"/>
    <x v="6"/>
    <n v="19"/>
    <n v="141745.84"/>
    <n v="2693170.96"/>
    <x v="47"/>
    <x v="1"/>
    <x v="21"/>
    <n v="21"/>
    <x v="0"/>
    <s v="4ee4334e-ce92-4136-ac3a-812f765e6cb5"/>
  </r>
  <r>
    <s v="John Pierce"/>
    <x v="18"/>
    <x v="5"/>
    <n v="1"/>
    <n v="0"/>
    <n v="0"/>
    <x v="48"/>
    <x v="0"/>
    <x v="22"/>
    <n v="9"/>
    <x v="0"/>
    <s v="41241bb4-655c-4508-8592-bfa5b928e23f"/>
  </r>
  <r>
    <s v="Shane Henderson"/>
    <x v="12"/>
    <x v="6"/>
    <n v="1"/>
    <n v="254588.91"/>
    <n v="254588.91"/>
    <x v="49"/>
    <x v="1"/>
    <x v="21"/>
    <n v="21"/>
    <x v="0"/>
    <s v="37c86152-beed-4af9-80c5-9f30d1031424"/>
  </r>
  <r>
    <s v="Unknown Customer"/>
    <x v="17"/>
    <x v="1"/>
    <n v="1"/>
    <n v="218356.93"/>
    <n v="218356.93"/>
    <x v="50"/>
    <x v="0"/>
    <x v="0"/>
    <n v="15"/>
    <x v="1"/>
    <s v="6c776e95-0b98-4ccd-92b2-102d940c3503"/>
  </r>
  <r>
    <s v="Joshua Blair"/>
    <x v="7"/>
    <x v="0"/>
    <n v="1"/>
    <n v="211879.67999999999"/>
    <n v="211879.67999999999"/>
    <x v="51"/>
    <x v="1"/>
    <x v="6"/>
    <n v="40"/>
    <x v="2"/>
    <s v="8a89b0f0-1052-41d3-b34c-6c7358330b30"/>
  </r>
  <r>
    <s v="Eric Carney"/>
    <x v="10"/>
    <x v="1"/>
    <n v="1"/>
    <n v="155845.62"/>
    <n v="155845.62"/>
    <x v="52"/>
    <x v="2"/>
    <x v="20"/>
    <n v="36"/>
    <x v="0"/>
    <s v="e4eb8000-ef40-4162-8f6c-e9bffe7ee362"/>
  </r>
  <r>
    <s v="Jessica Holmes"/>
    <x v="6"/>
    <x v="7"/>
    <n v="1"/>
    <n v="168485.59"/>
    <n v="168485.59"/>
    <x v="53"/>
    <x v="2"/>
    <x v="15"/>
    <n v="42"/>
    <x v="2"/>
    <s v="78d9a88a-ef0b-4a4f-bc73-7d9211ab3d11"/>
  </r>
  <r>
    <s v="Danny Morgan"/>
    <x v="9"/>
    <x v="6"/>
    <n v="1"/>
    <n v="299437.8"/>
    <n v="299437.8"/>
    <x v="54"/>
    <x v="1"/>
    <x v="1"/>
    <n v="11"/>
    <x v="2"/>
    <s v="MIS-0058"/>
  </r>
  <r>
    <s v="Crystal Robinson"/>
    <x v="3"/>
    <x v="7"/>
    <n v="1"/>
    <n v="143772.10999999999"/>
    <n v="143772.10999999999"/>
    <x v="55"/>
    <x v="1"/>
    <x v="11"/>
    <n v="47"/>
    <x v="1"/>
    <s v="2e13418d-68ab-40ea-897e-c6d1081fc6dc"/>
  </r>
  <r>
    <s v="Mark Perez"/>
    <x v="18"/>
    <x v="4"/>
    <n v="1"/>
    <n v="113359.02"/>
    <n v="113359.02"/>
    <x v="52"/>
    <x v="2"/>
    <x v="20"/>
    <n v="36"/>
    <x v="3"/>
    <s v="a43afb7a-c40d-4874-a2ab-7752c4db5a62"/>
  </r>
  <r>
    <s v="Shannon Jones"/>
    <x v="6"/>
    <x v="6"/>
    <n v="1"/>
    <n v="287027.3"/>
    <n v="287027.3"/>
    <x v="56"/>
    <x v="1"/>
    <x v="23"/>
    <n v="26"/>
    <x v="0"/>
    <s v="f6ba745b-a558-41e3-bab2-b77dfa740cc8"/>
  </r>
  <r>
    <s v="Michael Lewis"/>
    <x v="3"/>
    <x v="1"/>
    <n v="1"/>
    <n v="0"/>
    <n v="0"/>
    <x v="57"/>
    <x v="1"/>
    <x v="17"/>
    <n v="27"/>
    <x v="1"/>
    <s v="e42e707a-fe2b-4987-9fdc-abbf6b9cd71c"/>
  </r>
  <r>
    <s v="Timothy Duncan"/>
    <x v="0"/>
    <x v="0"/>
    <n v="93"/>
    <n v="138169.23000000001"/>
    <n v="12849738.390000001"/>
    <x v="58"/>
    <x v="1"/>
    <x v="2"/>
    <n v="51"/>
    <x v="3"/>
    <s v="eac80da1-de9f-4f5b-b2d3-545861ea2f30"/>
  </r>
  <r>
    <s v="Richard Aguirre"/>
    <x v="16"/>
    <x v="1"/>
    <n v="1"/>
    <n v="160171.56"/>
    <n v="160171.56"/>
    <x v="59"/>
    <x v="1"/>
    <x v="13"/>
    <n v="33"/>
    <x v="3"/>
    <s v="148b4376-602a-4e57-a0a3-99d4e821e716"/>
  </r>
  <r>
    <s v="Brent Jordan"/>
    <x v="2"/>
    <x v="7"/>
    <n v="1"/>
    <n v="164108.82999999999"/>
    <n v="164108.82999999999"/>
    <x v="60"/>
    <x v="1"/>
    <x v="3"/>
    <n v="14"/>
    <x v="0"/>
    <s v="dfe2c0a0-a96b-4c42-b6d2-2a7baec76a82"/>
  </r>
  <r>
    <s v="John Daniel"/>
    <x v="13"/>
    <x v="2"/>
    <n v="1"/>
    <n v="202922.64"/>
    <n v="202922.64"/>
    <x v="61"/>
    <x v="2"/>
    <x v="15"/>
    <n v="42"/>
    <x v="2"/>
    <s v="dc3bbdd8-a74e-42a9-a20b-9ea98a0f9508"/>
  </r>
  <r>
    <s v="Unknown Customer"/>
    <x v="17"/>
    <x v="6"/>
    <n v="1"/>
    <n v="260362.49"/>
    <n v="260362.49"/>
    <x v="62"/>
    <x v="0"/>
    <x v="9"/>
    <n v="21"/>
    <x v="2"/>
    <s v="fe2b34d8-2db0-428d-9e5e-be5459077299"/>
  </r>
  <r>
    <s v="Victoria Garcia"/>
    <x v="14"/>
    <x v="5"/>
    <n v="94"/>
    <n v="204383.39"/>
    <n v="19212038.66"/>
    <x v="63"/>
    <x v="0"/>
    <x v="0"/>
    <n v="16"/>
    <x v="2"/>
    <s v="2099d180-8762-4997-a49f-7d888989c5ab"/>
  </r>
  <r>
    <s v="Gerald Hensley"/>
    <x v="17"/>
    <x v="3"/>
    <n v="1"/>
    <n v="241193.93"/>
    <n v="241193.93"/>
    <x v="64"/>
    <x v="0"/>
    <x v="12"/>
    <n v="10"/>
    <x v="2"/>
    <s v="d5b6de85-3902-49d9-ba8d-ae42ba54e920"/>
  </r>
  <r>
    <s v="Connor West"/>
    <x v="17"/>
    <x v="0"/>
    <n v="1"/>
    <n v="79676.47"/>
    <n v="79676.47"/>
    <x v="35"/>
    <x v="1"/>
    <x v="6"/>
    <n v="37"/>
    <x v="2"/>
    <s v="fa7e5d94-05d1-4b63-8194-f97f00e3a026"/>
  </r>
  <r>
    <s v="Donald Wright"/>
    <x v="10"/>
    <x v="5"/>
    <n v="1"/>
    <n v="145511.94"/>
    <n v="145511.94"/>
    <x v="65"/>
    <x v="1"/>
    <x v="11"/>
    <n v="47"/>
    <x v="3"/>
    <s v="b8168aeb-ac6a-4c85-b687-6c624c61845e"/>
  </r>
  <r>
    <s v="Jessica Callahan"/>
    <x v="2"/>
    <x v="5"/>
    <n v="1"/>
    <n v="0"/>
    <n v="0"/>
    <x v="66"/>
    <x v="1"/>
    <x v="19"/>
    <n v="41"/>
    <x v="2"/>
    <s v="MIS-0072"/>
  </r>
  <r>
    <s v="Amber Kidd"/>
    <x v="6"/>
    <x v="6"/>
    <n v="61"/>
    <n v="287222.55"/>
    <n v="17520575.550000001"/>
    <x v="67"/>
    <x v="2"/>
    <x v="10"/>
    <n v="48"/>
    <x v="2"/>
    <s v="6118433b-882c-4d1e-ac93-a7918b60c511"/>
  </r>
  <r>
    <s v="Tracy House"/>
    <x v="12"/>
    <x v="2"/>
    <n v="12"/>
    <n v="84062.42"/>
    <n v="1008749.04"/>
    <x v="68"/>
    <x v="0"/>
    <x v="22"/>
    <n v="9"/>
    <x v="1"/>
    <s v="75eb89c2-3f5c-42f3-bacb-43a3d2c7bffb"/>
  </r>
  <r>
    <s v="Carol Tucker"/>
    <x v="14"/>
    <x v="6"/>
    <n v="1"/>
    <n v="89900.5"/>
    <n v="89900.5"/>
    <x v="36"/>
    <x v="2"/>
    <x v="15"/>
    <n v="42"/>
    <x v="1"/>
    <s v="3040413c-4690-4b15-a7b6-08dc589decb0"/>
  </r>
  <r>
    <s v="James Brown"/>
    <x v="5"/>
    <x v="2"/>
    <n v="1"/>
    <n v="282474.92"/>
    <n v="282474.92"/>
    <x v="69"/>
    <x v="1"/>
    <x v="23"/>
    <n v="24"/>
    <x v="1"/>
    <s v="c3f725fe-b99b-4b5a-a00d-a49deffa2002"/>
  </r>
  <r>
    <s v="William Baker"/>
    <x v="3"/>
    <x v="4"/>
    <n v="1"/>
    <n v="294686.96000000002"/>
    <n v="294686.96000000002"/>
    <x v="70"/>
    <x v="1"/>
    <x v="13"/>
    <n v="32"/>
    <x v="3"/>
    <s v="a902b73f-cf39-4648-883f-64c31ce362f8"/>
  </r>
  <r>
    <s v="Jordan Henderson"/>
    <x v="14"/>
    <x v="0"/>
    <n v="1"/>
    <n v="231466.69"/>
    <n v="231466.69"/>
    <x v="71"/>
    <x v="0"/>
    <x v="8"/>
    <n v="25"/>
    <x v="2"/>
    <s v="efad49e9-c41c-447e-9d6b-9b626b535a19"/>
  </r>
  <r>
    <s v="Whitney Peters"/>
    <x v="13"/>
    <x v="7"/>
    <n v="1"/>
    <n v="211617.83"/>
    <n v="211617.83"/>
    <x v="72"/>
    <x v="0"/>
    <x v="9"/>
    <n v="20"/>
    <x v="0"/>
    <s v="3d9c4e64-0401-4ced-a398-36bbe23ddfaa"/>
  </r>
  <r>
    <s v="Unknown Customer"/>
    <x v="16"/>
    <x v="7"/>
    <n v="1"/>
    <n v="207226.85"/>
    <n v="207226.85"/>
    <x v="73"/>
    <x v="2"/>
    <x v="5"/>
    <n v="34"/>
    <x v="2"/>
    <s v="980cb95c-19d4-4deb-9139-fa1234c1c3ea"/>
  </r>
  <r>
    <s v="Brittney Phillips"/>
    <x v="2"/>
    <x v="5"/>
    <n v="1"/>
    <n v="146956.42000000001"/>
    <n v="146956.42000000001"/>
    <x v="74"/>
    <x v="0"/>
    <x v="0"/>
    <n v="16"/>
    <x v="3"/>
    <s v="ac09bdb7-9908-4e47-b249-f62c08987462"/>
  </r>
  <r>
    <s v="Lauren Daniels"/>
    <x v="5"/>
    <x v="3"/>
    <n v="1"/>
    <n v="0"/>
    <n v="0"/>
    <x v="75"/>
    <x v="2"/>
    <x v="15"/>
    <n v="42"/>
    <x v="1"/>
    <s v="3ea6e5b2-0c76-4d28-9f49-5037b40a9181"/>
  </r>
  <r>
    <s v="Amy Silva"/>
    <x v="3"/>
    <x v="4"/>
    <n v="1"/>
    <n v="144201.13"/>
    <n v="144201.13"/>
    <x v="76"/>
    <x v="1"/>
    <x v="13"/>
    <n v="33"/>
    <x v="3"/>
    <s v="705fddf5-66fa-4ca0-8b53-1932bd9419aa"/>
  </r>
  <r>
    <s v="Sarah Moore"/>
    <x v="15"/>
    <x v="7"/>
    <n v="1"/>
    <n v="168366.03"/>
    <n v="168366.03"/>
    <x v="77"/>
    <x v="2"/>
    <x v="10"/>
    <n v="45"/>
    <x v="1"/>
    <s v="c11f6bf5-379e-4467-8a2d-b2e63bfda8a6"/>
  </r>
  <r>
    <s v="Angela Lopez"/>
    <x v="9"/>
    <x v="7"/>
    <n v="93"/>
    <n v="280378.37"/>
    <n v="26075188.41"/>
    <x v="78"/>
    <x v="1"/>
    <x v="1"/>
    <n v="10"/>
    <x v="3"/>
    <s v="23dfecd7-0e73-4dd7-86ac-1b04dd1d6cd1"/>
  </r>
  <r>
    <s v="Megan Young"/>
    <x v="3"/>
    <x v="3"/>
    <n v="1"/>
    <n v="216638.48"/>
    <n v="216638.48"/>
    <x v="79"/>
    <x v="2"/>
    <x v="10"/>
    <n v="46"/>
    <x v="0"/>
    <s v="MIS-0086"/>
  </r>
  <r>
    <s v="Steve Sanchez"/>
    <x v="9"/>
    <x v="3"/>
    <n v="1"/>
    <n v="86692.92"/>
    <n v="86692.92"/>
    <x v="80"/>
    <x v="2"/>
    <x v="10"/>
    <n v="46"/>
    <x v="1"/>
    <s v="3bf2025f-4a0d-4b73-be54-ee4b80ff5173"/>
  </r>
  <r>
    <s v="Lisa Barnes"/>
    <x v="15"/>
    <x v="7"/>
    <n v="1"/>
    <n v="172256.3"/>
    <n v="172256.3"/>
    <x v="81"/>
    <x v="1"/>
    <x v="1"/>
    <n v="12"/>
    <x v="1"/>
    <s v="937bf79b-bb44-4adc-aa98-fef8d0d75e37"/>
  </r>
  <r>
    <s v="Kelly Donovan"/>
    <x v="16"/>
    <x v="1"/>
    <n v="65"/>
    <n v="163185.67000000001"/>
    <n v="10607068.550000001"/>
    <x v="82"/>
    <x v="0"/>
    <x v="24"/>
    <n v="28"/>
    <x v="2"/>
    <s v="c5c51060-9911-41e7-93d5-63ae51a3ac26"/>
  </r>
  <r>
    <s v="Mike Allen"/>
    <x v="2"/>
    <x v="3"/>
    <n v="1"/>
    <n v="268780.26"/>
    <n v="268780.26"/>
    <x v="83"/>
    <x v="0"/>
    <x v="4"/>
    <n v="2"/>
    <x v="3"/>
    <s v="3ca5be29-5217-4bf3-9181-83d1ac2b0cfc"/>
  </r>
  <r>
    <s v="Michael Evans"/>
    <x v="6"/>
    <x v="1"/>
    <n v="62"/>
    <n v="118662.47"/>
    <n v="7357073.1399999997"/>
    <x v="84"/>
    <x v="1"/>
    <x v="14"/>
    <n v="1"/>
    <x v="2"/>
    <s v="fc568b53-24ac-4722-a052-77394d406f1b"/>
  </r>
  <r>
    <s v="Paul Jones"/>
    <x v="10"/>
    <x v="0"/>
    <n v="1"/>
    <n v="0"/>
    <n v="0"/>
    <x v="85"/>
    <x v="1"/>
    <x v="3"/>
    <n v="14"/>
    <x v="2"/>
    <s v="69df14e9-3896-41dd-8570-b59fa903ae67"/>
  </r>
  <r>
    <s v="Unknown Customer"/>
    <x v="7"/>
    <x v="4"/>
    <n v="1"/>
    <n v="103867.84"/>
    <n v="103867.84"/>
    <x v="86"/>
    <x v="0"/>
    <x v="24"/>
    <n v="28"/>
    <x v="2"/>
    <s v="8e85140d-0f9a-4b70-8670-7cd64ceda164"/>
  </r>
  <r>
    <s v="Zachary Ferrell"/>
    <x v="15"/>
    <x v="3"/>
    <n v="1"/>
    <n v="232032.77"/>
    <n v="232032.77"/>
    <x v="87"/>
    <x v="1"/>
    <x v="13"/>
    <n v="33"/>
    <x v="3"/>
    <s v="bc36dc59-e134-4dfc-9777-7f10f2d2393f"/>
  </r>
  <r>
    <s v="Daniel Baker"/>
    <x v="10"/>
    <x v="0"/>
    <n v="74"/>
    <n v="44369.599999999999"/>
    <n v="3283350.4"/>
    <x v="88"/>
    <x v="0"/>
    <x v="8"/>
    <n v="23"/>
    <x v="0"/>
    <s v="adc29178-a041-4612-acd5-8759e95d2761"/>
  </r>
  <r>
    <s v="Shirley Suarez"/>
    <x v="19"/>
    <x v="2"/>
    <n v="1"/>
    <n v="13098.91"/>
    <n v="13098.91"/>
    <x v="89"/>
    <x v="1"/>
    <x v="7"/>
    <n v="7"/>
    <x v="2"/>
    <s v="0c00988a-7ee1-411a-8e4c-3ab56d5d0477"/>
  </r>
  <r>
    <s v="Christopher Bass"/>
    <x v="16"/>
    <x v="5"/>
    <n v="1"/>
    <n v="286616.46000000002"/>
    <n v="286616.46000000002"/>
    <x v="90"/>
    <x v="0"/>
    <x v="0"/>
    <n v="18"/>
    <x v="1"/>
    <s v="a4b05c89-f10b-4e9c-982b-91eef8e8035b"/>
  </r>
  <r>
    <s v="Lisa Archer"/>
    <x v="13"/>
    <x v="1"/>
    <n v="1"/>
    <n v="24169.32"/>
    <n v="24169.32"/>
    <x v="91"/>
    <x v="2"/>
    <x v="20"/>
    <n v="37"/>
    <x v="0"/>
    <s v="86433603-c92a-4d7c-a193-5990abdd1a8f"/>
  </r>
  <r>
    <s v="Aimee Montoya"/>
    <x v="4"/>
    <x v="4"/>
    <n v="1"/>
    <n v="277240.88"/>
    <n v="277240.88"/>
    <x v="92"/>
    <x v="1"/>
    <x v="14"/>
    <n v="4"/>
    <x v="3"/>
    <s v="6883ac6e-6a94-4054-b241-4482519894d8"/>
  </r>
  <r>
    <s v="Matthew Mcmillan"/>
    <x v="2"/>
    <x v="1"/>
    <n v="1"/>
    <n v="196963.63"/>
    <n v="196963.63"/>
    <x v="93"/>
    <x v="2"/>
    <x v="16"/>
    <n v="50"/>
    <x v="1"/>
    <s v="MIS-0100"/>
  </r>
  <r>
    <s v="Brian Rodriguez"/>
    <x v="4"/>
    <x v="2"/>
    <n v="1"/>
    <n v="224327.88"/>
    <n v="224327.88"/>
    <x v="94"/>
    <x v="1"/>
    <x v="11"/>
    <n v="46"/>
    <x v="2"/>
    <s v="2f12b150-605f-41eb-8cc5-7e0d26332018"/>
  </r>
  <r>
    <s v="Denise Jacobs"/>
    <x v="3"/>
    <x v="4"/>
    <n v="35"/>
    <n v="0"/>
    <n v="0"/>
    <x v="6"/>
    <x v="1"/>
    <x v="6"/>
    <n v="37"/>
    <x v="3"/>
    <s v="3db0174e-7938-478a-89b5-aab0c12169db"/>
  </r>
  <r>
    <s v="Christina Walters"/>
    <x v="5"/>
    <x v="7"/>
    <n v="1"/>
    <n v="64589.05"/>
    <n v="64589.05"/>
    <x v="95"/>
    <x v="1"/>
    <x v="7"/>
    <n v="6"/>
    <x v="1"/>
    <s v="db87d29c-4cfd-4fc1-b9b0-2e2ad96e684f"/>
  </r>
  <r>
    <s v="John Whitehead"/>
    <x v="5"/>
    <x v="2"/>
    <n v="1"/>
    <n v="248471.54"/>
    <n v="248471.54"/>
    <x v="53"/>
    <x v="2"/>
    <x v="15"/>
    <n v="42"/>
    <x v="3"/>
    <s v="7688d11f-ce47-48be-a4f4-3c62b523c0de"/>
  </r>
  <r>
    <s v="Anna Henderson"/>
    <x v="2"/>
    <x v="6"/>
    <n v="1"/>
    <n v="81704.25"/>
    <n v="81704.25"/>
    <x v="96"/>
    <x v="1"/>
    <x v="11"/>
    <n v="45"/>
    <x v="1"/>
    <s v="69a53b4f-8ff8-469d-8ec0-713dea2c7a51"/>
  </r>
  <r>
    <s v="Unknown Customer"/>
    <x v="7"/>
    <x v="6"/>
    <n v="1"/>
    <n v="168824.4"/>
    <n v="168824.4"/>
    <x v="97"/>
    <x v="1"/>
    <x v="1"/>
    <n v="9"/>
    <x v="3"/>
    <s v="87ad8b26-8eaa-4841-aaa0-426df7c0d5f7"/>
  </r>
  <r>
    <s v="Aaron Wise"/>
    <x v="8"/>
    <x v="3"/>
    <n v="1"/>
    <n v="81850.63"/>
    <n v="81850.63"/>
    <x v="98"/>
    <x v="1"/>
    <x v="19"/>
    <n v="44"/>
    <x v="2"/>
    <s v="41476506-3e2b-49c9-a36f-6e5c2253e706"/>
  </r>
  <r>
    <s v="Deborah Figueroa"/>
    <x v="7"/>
    <x v="4"/>
    <n v="1"/>
    <n v="33213.360000000001"/>
    <n v="33213.360000000001"/>
    <x v="99"/>
    <x v="1"/>
    <x v="13"/>
    <n v="35"/>
    <x v="2"/>
    <s v="143df5b3-a58e-43dd-948c-1d84340de049"/>
  </r>
  <r>
    <s v="Jessica Smith"/>
    <x v="16"/>
    <x v="3"/>
    <n v="9"/>
    <n v="222396.85"/>
    <n v="2001571.6500000001"/>
    <x v="100"/>
    <x v="2"/>
    <x v="20"/>
    <n v="38"/>
    <x v="1"/>
    <s v="5efeef4f-d8dd-4bc0-b325-3aa3ec170298"/>
  </r>
  <r>
    <s v="Stephen Mckee"/>
    <x v="17"/>
    <x v="4"/>
    <n v="1"/>
    <n v="72164.98"/>
    <n v="72164.98"/>
    <x v="70"/>
    <x v="1"/>
    <x v="13"/>
    <n v="32"/>
    <x v="1"/>
    <s v="d453f867-b97e-4224-891f-691217abb863"/>
  </r>
  <r>
    <s v="Sandra Aguilar"/>
    <x v="3"/>
    <x v="2"/>
    <n v="4"/>
    <n v="15704.25"/>
    <n v="62817"/>
    <x v="101"/>
    <x v="1"/>
    <x v="11"/>
    <n v="47"/>
    <x v="2"/>
    <s v="608e149e-44b9-4602-8d31-812e30c36756"/>
  </r>
  <r>
    <s v="Cameron Parker"/>
    <x v="4"/>
    <x v="4"/>
    <n v="1"/>
    <n v="0"/>
    <n v="0"/>
    <x v="102"/>
    <x v="2"/>
    <x v="10"/>
    <n v="46"/>
    <x v="2"/>
    <s v="0a1fc9df-9a59-4974-9adf-4709ac75c344"/>
  </r>
  <r>
    <s v="Rebecca Valencia"/>
    <x v="11"/>
    <x v="7"/>
    <n v="1"/>
    <n v="271602.67"/>
    <n v="271602.67"/>
    <x v="103"/>
    <x v="1"/>
    <x v="19"/>
    <n v="41"/>
    <x v="3"/>
    <s v="cdfd9531-302b-4831-92a1-fe7ddfa59722"/>
  </r>
  <r>
    <s v="Christine Wright"/>
    <x v="19"/>
    <x v="5"/>
    <n v="1"/>
    <n v="68088.66"/>
    <n v="68088.66"/>
    <x v="104"/>
    <x v="1"/>
    <x v="19"/>
    <n v="40"/>
    <x v="1"/>
    <s v="MIS-0114"/>
  </r>
  <r>
    <s v="Richard Henson"/>
    <x v="6"/>
    <x v="6"/>
    <n v="44"/>
    <n v="70234.55"/>
    <n v="3090320.2"/>
    <x v="105"/>
    <x v="2"/>
    <x v="10"/>
    <n v="45"/>
    <x v="2"/>
    <s v="abe42e7d-b96c-4163-966b-e275c2fe8954"/>
  </r>
  <r>
    <s v="Marc Moore"/>
    <x v="9"/>
    <x v="5"/>
    <n v="1"/>
    <n v="30509.29"/>
    <n v="30509.29"/>
    <x v="106"/>
    <x v="2"/>
    <x v="10"/>
    <n v="47"/>
    <x v="3"/>
    <s v="3579c143-7ab9-4428-b78e-65108f10d33e"/>
  </r>
  <r>
    <s v="Sharon Cherry"/>
    <x v="0"/>
    <x v="4"/>
    <n v="1"/>
    <n v="99422.94"/>
    <n v="99422.94"/>
    <x v="107"/>
    <x v="1"/>
    <x v="2"/>
    <n v="49"/>
    <x v="1"/>
    <s v="4d9dbaeb-553d-4625-a833-4da5de95d695"/>
  </r>
  <r>
    <s v="Sierra Johnson"/>
    <x v="4"/>
    <x v="5"/>
    <n v="1"/>
    <n v="141984.97"/>
    <n v="141984.97"/>
    <x v="96"/>
    <x v="1"/>
    <x v="11"/>
    <n v="45"/>
    <x v="1"/>
    <s v="363908bf-03ec-48ff-a8b3-d763f4ff3f3a"/>
  </r>
  <r>
    <s v="Unknown Customer"/>
    <x v="14"/>
    <x v="7"/>
    <n v="77"/>
    <n v="204517"/>
    <n v="15747809"/>
    <x v="108"/>
    <x v="0"/>
    <x v="4"/>
    <n v="4"/>
    <x v="3"/>
    <s v="bdd151b0-f64a-46ec-b0a5-648eefe9b3d0"/>
  </r>
  <r>
    <s v="Evelyn Galvan"/>
    <x v="8"/>
    <x v="6"/>
    <n v="7"/>
    <n v="41671.379999999997"/>
    <n v="291699.65999999997"/>
    <x v="109"/>
    <x v="0"/>
    <x v="8"/>
    <n v="24"/>
    <x v="2"/>
    <s v="c11bd1c4-ffe3-4366-bf33-7a151e086f20"/>
  </r>
  <r>
    <s v="Sharon Cochran"/>
    <x v="12"/>
    <x v="0"/>
    <n v="1"/>
    <n v="289373.37"/>
    <n v="289373.37"/>
    <x v="110"/>
    <x v="1"/>
    <x v="19"/>
    <n v="43"/>
    <x v="2"/>
    <s v="b2149062-3e1a-463e-aa18-d32c7a9a8ef5"/>
  </r>
  <r>
    <s v="Richard Rodriguez"/>
    <x v="6"/>
    <x v="4"/>
    <n v="1"/>
    <n v="0"/>
    <n v="0"/>
    <x v="111"/>
    <x v="1"/>
    <x v="1"/>
    <n v="13"/>
    <x v="1"/>
    <s v="6589ada1-345a-4934-b42a-2d939aba0f15"/>
  </r>
  <r>
    <s v="Shannon Walker"/>
    <x v="16"/>
    <x v="6"/>
    <n v="1"/>
    <n v="293384.26"/>
    <n v="293384.26"/>
    <x v="112"/>
    <x v="0"/>
    <x v="0"/>
    <n v="17"/>
    <x v="3"/>
    <s v="52555c75-8d55-419e-bd44-cb2cea45ba41"/>
  </r>
  <r>
    <s v="Julia Torres"/>
    <x v="16"/>
    <x v="5"/>
    <n v="1"/>
    <n v="47803.35"/>
    <n v="47803.35"/>
    <x v="113"/>
    <x v="0"/>
    <x v="8"/>
    <n v="26"/>
    <x v="1"/>
    <s v="775c30b5-6173-4c48-8876-9153c68813fe"/>
  </r>
  <r>
    <s v="Crystal Johnson"/>
    <x v="12"/>
    <x v="0"/>
    <n v="1"/>
    <n v="196041.39"/>
    <n v="196041.39"/>
    <x v="114"/>
    <x v="1"/>
    <x v="6"/>
    <n v="38"/>
    <x v="3"/>
    <s v="4ef4c34d-5bf8-4f3c-a612-9a1c889d4b76"/>
  </r>
  <r>
    <s v="Garrett Lin"/>
    <x v="13"/>
    <x v="1"/>
    <n v="1"/>
    <n v="264253.90999999997"/>
    <n v="264253.90999999997"/>
    <x v="115"/>
    <x v="2"/>
    <x v="5"/>
    <n v="32"/>
    <x v="1"/>
    <s v="e1fff6c0-8347-41da-9c11-ab6d42f5b3f5"/>
  </r>
  <r>
    <s v="Diana May"/>
    <x v="11"/>
    <x v="6"/>
    <n v="1"/>
    <n v="142972.04"/>
    <n v="142972.04"/>
    <x v="116"/>
    <x v="0"/>
    <x v="0"/>
    <n v="15"/>
    <x v="0"/>
    <s v="cd8563ca-193e-438d-b74c-0afa7f4d908c"/>
  </r>
  <r>
    <s v="William Herrera"/>
    <x v="2"/>
    <x v="1"/>
    <n v="1"/>
    <n v="195336.34"/>
    <n v="195336.34"/>
    <x v="117"/>
    <x v="0"/>
    <x v="9"/>
    <n v="20"/>
    <x v="2"/>
    <s v="MIS-0128"/>
  </r>
  <r>
    <s v="Ashley Waller"/>
    <x v="5"/>
    <x v="2"/>
    <n v="1"/>
    <n v="226895.35999999999"/>
    <n v="226895.35999999999"/>
    <x v="118"/>
    <x v="2"/>
    <x v="5"/>
    <n v="31"/>
    <x v="2"/>
    <s v="c2fa1da8-7830-4631-b8f0-188efb37afae"/>
  </r>
  <r>
    <s v="Victor Baker"/>
    <x v="1"/>
    <x v="0"/>
    <n v="56"/>
    <n v="86529.89"/>
    <n v="4845673.84"/>
    <x v="119"/>
    <x v="2"/>
    <x v="20"/>
    <n v="37"/>
    <x v="2"/>
    <s v="340029c3-ea11-405b-91fa-cefad6f89f7a"/>
  </r>
  <r>
    <s v="Jeffrey Chandler"/>
    <x v="0"/>
    <x v="0"/>
    <n v="1"/>
    <n v="85981.89"/>
    <n v="85981.89"/>
    <x v="120"/>
    <x v="2"/>
    <x v="5"/>
    <n v="33"/>
    <x v="2"/>
    <s v="0bb401e7-69f7-43f1-901b-a8515ee68495"/>
  </r>
  <r>
    <s v="Unknown Customer"/>
    <x v="5"/>
    <x v="6"/>
    <n v="1"/>
    <n v="0"/>
    <n v="0"/>
    <x v="55"/>
    <x v="1"/>
    <x v="11"/>
    <n v="47"/>
    <x v="2"/>
    <s v="bdc2b74b-38a5-4b49-9d34-aa1890019ed4"/>
  </r>
  <r>
    <s v="Larry Dixon"/>
    <x v="2"/>
    <x v="2"/>
    <n v="1"/>
    <n v="18219.189999999999"/>
    <n v="18219.189999999999"/>
    <x v="121"/>
    <x v="0"/>
    <x v="22"/>
    <n v="9"/>
    <x v="2"/>
    <s v="8da5d39b-42c2-4797-8426-fcc9255b30e2"/>
  </r>
  <r>
    <s v="Kenneth Scott"/>
    <x v="15"/>
    <x v="5"/>
    <n v="1"/>
    <n v="230733.14"/>
    <n v="230733.14"/>
    <x v="122"/>
    <x v="1"/>
    <x v="6"/>
    <n v="40"/>
    <x v="0"/>
    <s v="b852b3cd-9442-45e6-9583-1d58ef4c5119"/>
  </r>
  <r>
    <s v="April Frost"/>
    <x v="0"/>
    <x v="3"/>
    <n v="6"/>
    <n v="195863.47"/>
    <n v="1175180.82"/>
    <x v="123"/>
    <x v="1"/>
    <x v="7"/>
    <n v="5"/>
    <x v="3"/>
    <s v="32399ffb-2704-4f25-8b91-b8cb6ae66582"/>
  </r>
  <r>
    <s v="Michelle Harmon"/>
    <x v="18"/>
    <x v="4"/>
    <n v="1"/>
    <n v="70049.95"/>
    <n v="70049.95"/>
    <x v="124"/>
    <x v="1"/>
    <x v="11"/>
    <n v="48"/>
    <x v="2"/>
    <s v="91ddb9bf-613d-4de9-bae2-802354720d2d"/>
  </r>
  <r>
    <s v="Helen Jones"/>
    <x v="8"/>
    <x v="2"/>
    <n v="8"/>
    <n v="221736.61"/>
    <n v="1773892.88"/>
    <x v="125"/>
    <x v="2"/>
    <x v="16"/>
    <n v="51"/>
    <x v="3"/>
    <s v="8cf6e8b8-7fd2-48c3-bee8-2983d5574241"/>
  </r>
  <r>
    <s v="Erin Edwards"/>
    <x v="14"/>
    <x v="0"/>
    <n v="1"/>
    <n v="255174.76"/>
    <n v="255174.76"/>
    <x v="126"/>
    <x v="0"/>
    <x v="22"/>
    <n v="9"/>
    <x v="1"/>
    <s v="566a9ce7-af52-4b94-b186-e47aa7946320"/>
  </r>
  <r>
    <s v="Michelle Evans"/>
    <x v="13"/>
    <x v="3"/>
    <n v="28"/>
    <n v="11670.82"/>
    <n v="326782.95999999996"/>
    <x v="31"/>
    <x v="1"/>
    <x v="6"/>
    <n v="39"/>
    <x v="0"/>
    <s v="7d1645a0-d253-4966-836b-9a0a41e02a89"/>
  </r>
  <r>
    <s v="Jason Powell"/>
    <x v="1"/>
    <x v="0"/>
    <n v="1"/>
    <n v="276480.53000000003"/>
    <n v="276480.53000000003"/>
    <x v="127"/>
    <x v="1"/>
    <x v="21"/>
    <n v="22"/>
    <x v="3"/>
    <s v="bd5609c4-a446-4663-b93b-17fbf76d15fd"/>
  </r>
  <r>
    <s v="Cameron Fisher"/>
    <x v="2"/>
    <x v="6"/>
    <n v="1"/>
    <n v="125656.55"/>
    <n v="125656.55"/>
    <x v="128"/>
    <x v="1"/>
    <x v="11"/>
    <n v="44"/>
    <x v="3"/>
    <s v="bb96f602-2b11-4c36-b5f8-e3a87d97ac0f"/>
  </r>
  <r>
    <s v="Megan Orr"/>
    <x v="11"/>
    <x v="5"/>
    <n v="16"/>
    <n v="0"/>
    <n v="0"/>
    <x v="65"/>
    <x v="1"/>
    <x v="11"/>
    <n v="47"/>
    <x v="2"/>
    <s v="MIS-0142"/>
  </r>
  <r>
    <s v="Elizabeth Kelley"/>
    <x v="14"/>
    <x v="7"/>
    <n v="1"/>
    <n v="251362.66"/>
    <n v="251362.66"/>
    <x v="129"/>
    <x v="2"/>
    <x v="5"/>
    <n v="31"/>
    <x v="1"/>
    <s v="23d4526b-2b54-4f7a-9a28-37b2cb8383f2"/>
  </r>
  <r>
    <s v="Dustin Jordan"/>
    <x v="11"/>
    <x v="0"/>
    <n v="56"/>
    <n v="280209.82"/>
    <n v="15691749.92"/>
    <x v="130"/>
    <x v="1"/>
    <x v="17"/>
    <n v="31"/>
    <x v="2"/>
    <s v="2f1dc121-7d02-4c6d-8bea-75c1b86677aa"/>
  </r>
  <r>
    <s v="Unknown Customer"/>
    <x v="0"/>
    <x v="5"/>
    <n v="1"/>
    <n v="11383.78"/>
    <n v="11383.78"/>
    <x v="131"/>
    <x v="0"/>
    <x v="9"/>
    <n v="22"/>
    <x v="1"/>
    <s v="fd85d7fa-8ac9-4b01-a3ad-64d4eab9eb02"/>
  </r>
  <r>
    <s v="Mary Marshall"/>
    <x v="18"/>
    <x v="1"/>
    <n v="1"/>
    <n v="250942.86"/>
    <n v="250942.86"/>
    <x v="132"/>
    <x v="1"/>
    <x v="11"/>
    <n v="45"/>
    <x v="2"/>
    <s v="862138ad-0f09-405c-b50d-7a37a44d9fec"/>
  </r>
  <r>
    <s v="Daniel Kennedy"/>
    <x v="11"/>
    <x v="0"/>
    <n v="1"/>
    <n v="236494.21"/>
    <n v="236494.21"/>
    <x v="133"/>
    <x v="1"/>
    <x v="6"/>
    <n v="36"/>
    <x v="3"/>
    <s v="13075157-d8c1-48e7-96cd-315508a8ac7f"/>
  </r>
  <r>
    <s v="Rebecca Jackson"/>
    <x v="12"/>
    <x v="3"/>
    <n v="1"/>
    <n v="56300.33"/>
    <n v="56300.33"/>
    <x v="134"/>
    <x v="1"/>
    <x v="7"/>
    <n v="8"/>
    <x v="3"/>
    <s v="0c6b7074-ab10-4c9b-9168-2e09f1f7d904"/>
  </r>
  <r>
    <s v="Jose Schultz"/>
    <x v="10"/>
    <x v="5"/>
    <n v="46"/>
    <n v="224826.46"/>
    <n v="10342017.16"/>
    <x v="55"/>
    <x v="1"/>
    <x v="11"/>
    <n v="47"/>
    <x v="0"/>
    <s v="2332a50e-6992-496e-81a2-5ed1c3abb5f1"/>
  </r>
  <r>
    <s v="Robert Potter"/>
    <x v="4"/>
    <x v="2"/>
    <n v="1"/>
    <n v="261751.06"/>
    <n v="261751.06"/>
    <x v="135"/>
    <x v="1"/>
    <x v="1"/>
    <n v="9"/>
    <x v="3"/>
    <s v="116658ce-3b3f-4800-a175-a9c3d7b102a9"/>
  </r>
  <r>
    <s v="Courtney Gonzalez"/>
    <x v="17"/>
    <x v="5"/>
    <n v="1"/>
    <n v="87195.36"/>
    <n v="87195.36"/>
    <x v="136"/>
    <x v="1"/>
    <x v="17"/>
    <n v="29"/>
    <x v="2"/>
    <s v="37fe032c-0257-4851-a6a9-e100b509109b"/>
  </r>
  <r>
    <s v="David Alvarez"/>
    <x v="14"/>
    <x v="2"/>
    <n v="1"/>
    <n v="0"/>
    <n v="0"/>
    <x v="137"/>
    <x v="1"/>
    <x v="14"/>
    <n v="3"/>
    <x v="3"/>
    <s v="0f79a8a7-5f8a-44bd-b4bd-0c938177b661"/>
  </r>
  <r>
    <s v="Angel Perry"/>
    <x v="5"/>
    <x v="2"/>
    <n v="1"/>
    <n v="11721.12"/>
    <n v="11721.12"/>
    <x v="138"/>
    <x v="0"/>
    <x v="12"/>
    <n v="13"/>
    <x v="2"/>
    <s v="ef145064-aab0-4015-a342-2e509e2a7324"/>
  </r>
  <r>
    <s v="Cheyenne Horton"/>
    <x v="11"/>
    <x v="7"/>
    <n v="1"/>
    <n v="89868.47"/>
    <n v="89868.47"/>
    <x v="139"/>
    <x v="0"/>
    <x v="12"/>
    <n v="13"/>
    <x v="3"/>
    <s v="a8c6dbc0-7bb3-447b-a9aa-144b9dd43675"/>
  </r>
  <r>
    <s v="David Douglas Jr."/>
    <x v="1"/>
    <x v="3"/>
    <n v="1"/>
    <n v="181033.5"/>
    <n v="181033.5"/>
    <x v="140"/>
    <x v="1"/>
    <x v="2"/>
    <n v="52"/>
    <x v="2"/>
    <s v="883f13c6-01b1-48e9-8406-ff447ce40679"/>
  </r>
  <r>
    <s v="Patricia Rodriguez"/>
    <x v="12"/>
    <x v="4"/>
    <n v="1"/>
    <n v="278572.23"/>
    <n v="278572.23"/>
    <x v="141"/>
    <x v="1"/>
    <x v="21"/>
    <n v="21"/>
    <x v="2"/>
    <s v="MIS-0156"/>
  </r>
  <r>
    <s v="Christopher Rubio"/>
    <x v="15"/>
    <x v="3"/>
    <n v="1"/>
    <n v="100845.11"/>
    <n v="100845.11"/>
    <x v="142"/>
    <x v="1"/>
    <x v="7"/>
    <n v="9"/>
    <x v="3"/>
    <s v="04482a22-0308-4a5e-a94d-7b008d388327"/>
  </r>
  <r>
    <s v="Unknown Customer"/>
    <x v="19"/>
    <x v="6"/>
    <n v="1"/>
    <n v="136577.54999999999"/>
    <n v="136577.54999999999"/>
    <x v="143"/>
    <x v="1"/>
    <x v="23"/>
    <n v="26"/>
    <x v="2"/>
    <s v="892621df-4655-48b7-b8e1-9f568787ea21"/>
  </r>
  <r>
    <s v="Amber Wright"/>
    <x v="1"/>
    <x v="0"/>
    <n v="1"/>
    <n v="192573.07"/>
    <n v="192573.07"/>
    <x v="144"/>
    <x v="2"/>
    <x v="20"/>
    <n v="36"/>
    <x v="0"/>
    <s v="80913ac1-0463-450e-8964-6b96fa3c1628"/>
  </r>
  <r>
    <s v="Joyce Solis"/>
    <x v="0"/>
    <x v="3"/>
    <n v="1"/>
    <n v="157533.4"/>
    <n v="157533.4"/>
    <x v="145"/>
    <x v="1"/>
    <x v="2"/>
    <n v="52"/>
    <x v="1"/>
    <s v="6e3a0ba8-ac8d-4c7d-b2a6-e468d02b1243"/>
  </r>
  <r>
    <s v="Victoria Larson"/>
    <x v="17"/>
    <x v="0"/>
    <n v="1"/>
    <n v="266833.36"/>
    <n v="266833.36"/>
    <x v="146"/>
    <x v="2"/>
    <x v="5"/>
    <n v="34"/>
    <x v="2"/>
    <s v="2de46e91-e8e6-4840-b090-f5a0ce610199"/>
  </r>
  <r>
    <s v="Stephanie Salazar"/>
    <x v="18"/>
    <x v="0"/>
    <n v="47"/>
    <n v="0"/>
    <n v="0"/>
    <x v="12"/>
    <x v="2"/>
    <x v="10"/>
    <n v="45"/>
    <x v="2"/>
    <s v="863e1f2a-18a8-46ef-ab05-3fc41b656dab"/>
  </r>
  <r>
    <s v="Kathy Rivas"/>
    <x v="3"/>
    <x v="0"/>
    <n v="56"/>
    <n v="40692.879999999997"/>
    <n v="2278801.2799999998"/>
    <x v="147"/>
    <x v="1"/>
    <x v="23"/>
    <n v="25"/>
    <x v="0"/>
    <s v="9ea9f508-3122-4592-bdb0-2235261e2555"/>
  </r>
  <r>
    <s v="Stephanie Manning"/>
    <x v="9"/>
    <x v="7"/>
    <n v="1"/>
    <n v="151511.70000000001"/>
    <n v="151511.70000000001"/>
    <x v="148"/>
    <x v="1"/>
    <x v="21"/>
    <n v="22"/>
    <x v="0"/>
    <s v="5abca6e5-d0b1-43eb-809e-7a8086c5d1d6"/>
  </r>
  <r>
    <s v="David Wright"/>
    <x v="3"/>
    <x v="4"/>
    <n v="1"/>
    <n v="82214.710000000006"/>
    <n v="82214.710000000006"/>
    <x v="149"/>
    <x v="1"/>
    <x v="17"/>
    <n v="30"/>
    <x v="2"/>
    <s v="143a9aff-659b-4105-8b80-f288446f64dd"/>
  </r>
  <r>
    <s v="Pamela Boyd"/>
    <x v="7"/>
    <x v="2"/>
    <n v="68"/>
    <n v="242739.76"/>
    <n v="16506303.68"/>
    <x v="150"/>
    <x v="1"/>
    <x v="17"/>
    <n v="27"/>
    <x v="1"/>
    <s v="7580e050-67f1-498c-b594-8a545f804eeb"/>
  </r>
  <r>
    <s v="Denise Jones"/>
    <x v="6"/>
    <x v="3"/>
    <n v="1"/>
    <n v="99539.89"/>
    <n v="99539.89"/>
    <x v="151"/>
    <x v="2"/>
    <x v="16"/>
    <n v="50"/>
    <x v="2"/>
    <s v="b27e1442-fd7f-4973-be42-df5b90a3fbbf"/>
  </r>
  <r>
    <s v="Devon Flores"/>
    <x v="6"/>
    <x v="6"/>
    <n v="1"/>
    <n v="219470.21"/>
    <n v="219470.21"/>
    <x v="152"/>
    <x v="1"/>
    <x v="1"/>
    <n v="14"/>
    <x v="2"/>
    <s v="d3fbe043-af1d-4a1a-8ccb-235539d1c7ff"/>
  </r>
  <r>
    <s v="Brenda Hall"/>
    <x v="19"/>
    <x v="3"/>
    <n v="1"/>
    <n v="194661.46"/>
    <n v="194661.46"/>
    <x v="153"/>
    <x v="1"/>
    <x v="19"/>
    <n v="43"/>
    <x v="0"/>
    <s v="fdde64af-a75b-495a-94a3-4f7fd90dd19b"/>
  </r>
  <r>
    <s v="Michelle Brown"/>
    <x v="6"/>
    <x v="2"/>
    <n v="100"/>
    <n v="215720.15"/>
    <n v="21572015"/>
    <x v="154"/>
    <x v="2"/>
    <x v="15"/>
    <n v="44"/>
    <x v="2"/>
    <s v="MIS-0170"/>
  </r>
  <r>
    <s v="Unknown Customer"/>
    <x v="5"/>
    <x v="5"/>
    <n v="1"/>
    <n v="4718.22"/>
    <n v="4718.22"/>
    <x v="155"/>
    <x v="1"/>
    <x v="1"/>
    <n v="10"/>
    <x v="3"/>
    <s v="081c79d4-c274-47eb-a65f-7b8adbb44021"/>
  </r>
  <r>
    <s v="Joshua Perry"/>
    <x v="4"/>
    <x v="0"/>
    <n v="82"/>
    <n v="0"/>
    <n v="0"/>
    <x v="156"/>
    <x v="0"/>
    <x v="9"/>
    <n v="19"/>
    <x v="1"/>
    <s v="608e2f5c-6117-4270-a7c0-518b17efa621"/>
  </r>
  <r>
    <s v="Jason Stein"/>
    <x v="4"/>
    <x v="5"/>
    <n v="1"/>
    <n v="101465.1"/>
    <n v="101465.1"/>
    <x v="157"/>
    <x v="0"/>
    <x v="4"/>
    <n v="3"/>
    <x v="3"/>
    <s v="a301ec03-0e5d-4c6a-b9db-78628d7dd772"/>
  </r>
  <r>
    <s v="Melissa Gates"/>
    <x v="19"/>
    <x v="6"/>
    <n v="1"/>
    <n v="88859.77"/>
    <n v="88859.77"/>
    <x v="1"/>
    <x v="1"/>
    <x v="1"/>
    <n v="11"/>
    <x v="0"/>
    <s v="152aeaec-2bdf-4b41-b3ed-a8f1026b5383"/>
  </r>
  <r>
    <s v="Jamie Smith"/>
    <x v="5"/>
    <x v="5"/>
    <n v="1"/>
    <n v="202483.14"/>
    <n v="202483.14"/>
    <x v="158"/>
    <x v="0"/>
    <x v="4"/>
    <n v="5"/>
    <x v="0"/>
    <s v="a518a418-6f14-43f6-9867-888b7ff6b824"/>
  </r>
  <r>
    <s v="Paul Castaneda"/>
    <x v="14"/>
    <x v="5"/>
    <n v="83"/>
    <n v="58351.81"/>
    <n v="4843200.2299999995"/>
    <x v="159"/>
    <x v="0"/>
    <x v="9"/>
    <n v="19"/>
    <x v="0"/>
    <s v="fa323f69-90db-4ad6-94ce-26bec8cce2c2"/>
  </r>
  <r>
    <s v="Jennifer Adkins"/>
    <x v="2"/>
    <x v="0"/>
    <n v="31"/>
    <n v="183480.87"/>
    <n v="5687906.9699999997"/>
    <x v="85"/>
    <x v="1"/>
    <x v="3"/>
    <n v="14"/>
    <x v="1"/>
    <s v="e5110961-1869-4217-b94d-8fcbdba3496f"/>
  </r>
  <r>
    <s v="Lindsey Walker"/>
    <x v="11"/>
    <x v="2"/>
    <n v="1"/>
    <n v="191798.38"/>
    <n v="191798.38"/>
    <x v="42"/>
    <x v="1"/>
    <x v="21"/>
    <n v="20"/>
    <x v="2"/>
    <s v="3ad1fa33-0ae4-4c11-ab4d-8f42873570a2"/>
  </r>
  <r>
    <s v="Jeffrey Johnson"/>
    <x v="12"/>
    <x v="2"/>
    <n v="26"/>
    <n v="121944.37"/>
    <n v="3170553.62"/>
    <x v="160"/>
    <x v="2"/>
    <x v="15"/>
    <n v="42"/>
    <x v="2"/>
    <s v="b139c476-de3c-488b-a6b9-d31a361f6d90"/>
  </r>
  <r>
    <s v="Michael Powell"/>
    <x v="8"/>
    <x v="2"/>
    <n v="78"/>
    <n v="128597.12"/>
    <n v="10030575.359999999"/>
    <x v="161"/>
    <x v="0"/>
    <x v="22"/>
    <n v="8"/>
    <x v="2"/>
    <s v="45667c48-79ba-430a-9118-c400e336c243"/>
  </r>
  <r>
    <s v="John Anderson"/>
    <x v="10"/>
    <x v="3"/>
    <n v="1"/>
    <n v="98714.03"/>
    <n v="98714.03"/>
    <x v="162"/>
    <x v="1"/>
    <x v="3"/>
    <n v="17"/>
    <x v="2"/>
    <s v="af36b8cc-1308-4974-ac95-b3ac0beb7c34"/>
  </r>
  <r>
    <s v="Alyssa Long"/>
    <x v="5"/>
    <x v="4"/>
    <n v="10"/>
    <n v="0"/>
    <n v="0"/>
    <x v="163"/>
    <x v="1"/>
    <x v="13"/>
    <n v="33"/>
    <x v="2"/>
    <s v="8b040f53-e639-49d4-87c6-8688ecf32053"/>
  </r>
  <r>
    <s v="Alyssa Day"/>
    <x v="10"/>
    <x v="3"/>
    <n v="1"/>
    <n v="120549.56"/>
    <n v="120549.56"/>
    <x v="164"/>
    <x v="1"/>
    <x v="6"/>
    <n v="38"/>
    <x v="2"/>
    <s v="2dea2d2d-086c-405f-a879-d8f890422eb7"/>
  </r>
  <r>
    <s v="Unknown Customer"/>
    <x v="18"/>
    <x v="5"/>
    <n v="1"/>
    <n v="29067.84"/>
    <n v="29067.84"/>
    <x v="165"/>
    <x v="2"/>
    <x v="15"/>
    <n v="40"/>
    <x v="2"/>
    <s v="MIS-0184"/>
  </r>
  <r>
    <s v="Joel Williams"/>
    <x v="16"/>
    <x v="4"/>
    <n v="1"/>
    <n v="294514.71999999997"/>
    <n v="294514.71999999997"/>
    <x v="166"/>
    <x v="1"/>
    <x v="1"/>
    <n v="11"/>
    <x v="3"/>
    <s v="04022b3c-5082-41a5-99b5-9f84edc3a1c3"/>
  </r>
  <r>
    <s v="Daniel Murphy"/>
    <x v="17"/>
    <x v="1"/>
    <n v="1"/>
    <n v="143497.5"/>
    <n v="143497.5"/>
    <x v="167"/>
    <x v="1"/>
    <x v="14"/>
    <n v="3"/>
    <x v="1"/>
    <s v="24e9bcfd-9647-4f9f-b508-507af622d842"/>
  </r>
  <r>
    <s v="Jamie Walton"/>
    <x v="13"/>
    <x v="3"/>
    <n v="1"/>
    <n v="280779.7"/>
    <n v="280779.7"/>
    <x v="168"/>
    <x v="1"/>
    <x v="17"/>
    <n v="28"/>
    <x v="3"/>
    <s v="d226a8b3-b674-410d-9218-c9d6c093bfb0"/>
  </r>
  <r>
    <s v="Darlene Miller"/>
    <x v="11"/>
    <x v="3"/>
    <n v="1"/>
    <n v="2545.62"/>
    <n v="2545.62"/>
    <x v="169"/>
    <x v="2"/>
    <x v="15"/>
    <n v="41"/>
    <x v="3"/>
    <s v="4c9d6907-13b2-4cec-adca-bf9465f6ba53"/>
  </r>
  <r>
    <s v="Joshua Cooke"/>
    <x v="13"/>
    <x v="0"/>
    <n v="1"/>
    <n v="115380.53"/>
    <n v="115380.53"/>
    <x v="170"/>
    <x v="1"/>
    <x v="7"/>
    <n v="5"/>
    <x v="2"/>
    <s v="9112fbc0-3d8f-45f4-905f-9096299656e2"/>
  </r>
  <r>
    <s v="Matthew Harrington"/>
    <x v="0"/>
    <x v="2"/>
    <n v="1"/>
    <n v="134297.29"/>
    <n v="134297.29"/>
    <x v="56"/>
    <x v="1"/>
    <x v="23"/>
    <n v="26"/>
    <x v="2"/>
    <s v="ad5229dd-639f-4471-9975-0f00d5aba8ae"/>
  </r>
  <r>
    <s v="Nicole Herring"/>
    <x v="3"/>
    <x v="2"/>
    <n v="41"/>
    <n v="80464.800000000003"/>
    <n v="3299056.8000000003"/>
    <x v="171"/>
    <x v="1"/>
    <x v="14"/>
    <n v="3"/>
    <x v="2"/>
    <s v="6243bed7-54ec-4f33-8a62-4cbde582b678"/>
  </r>
  <r>
    <s v="Alex Hernandez"/>
    <x v="3"/>
    <x v="4"/>
    <n v="57"/>
    <n v="0"/>
    <n v="0"/>
    <x v="172"/>
    <x v="2"/>
    <x v="15"/>
    <n v="43"/>
    <x v="1"/>
    <s v="ca5e151b-23d3-4d4c-bd5f-f093c16f9bcc"/>
  </r>
  <r>
    <s v="Michael Elliott"/>
    <x v="6"/>
    <x v="3"/>
    <n v="1"/>
    <n v="99222.78"/>
    <n v="99222.78"/>
    <x v="173"/>
    <x v="2"/>
    <x v="20"/>
    <n v="39"/>
    <x v="0"/>
    <s v="1413d64d-b962-48a7-b076-a7dcfd0ce433"/>
  </r>
  <r>
    <s v="Michael Wang"/>
    <x v="15"/>
    <x v="2"/>
    <n v="1"/>
    <n v="174947"/>
    <n v="174947"/>
    <x v="174"/>
    <x v="2"/>
    <x v="5"/>
    <n v="33"/>
    <x v="3"/>
    <s v="588a3f87-f96d-40f8-bed6-3da08033f5c2"/>
  </r>
  <r>
    <s v="Lawrence Adkins"/>
    <x v="1"/>
    <x v="3"/>
    <n v="1"/>
    <n v="172076.77"/>
    <n v="172076.77"/>
    <x v="8"/>
    <x v="1"/>
    <x v="7"/>
    <n v="8"/>
    <x v="0"/>
    <s v="3b6dca0d-6fe5-440b-9901-ef870dbf0caf"/>
  </r>
  <r>
    <s v="Robert Oconnell"/>
    <x v="7"/>
    <x v="5"/>
    <n v="1"/>
    <n v="78835.17"/>
    <n v="78835.17"/>
    <x v="175"/>
    <x v="1"/>
    <x v="21"/>
    <n v="18"/>
    <x v="1"/>
    <s v="9aec56a8-5731-4609-9375-ee90d6b361e4"/>
  </r>
  <r>
    <s v="Unknown Customer"/>
    <x v="5"/>
    <x v="1"/>
    <n v="65"/>
    <n v="108185.85"/>
    <n v="7032080.25"/>
    <x v="176"/>
    <x v="0"/>
    <x v="9"/>
    <n v="20"/>
    <x v="3"/>
    <s v="9879cf35-f471-4986-9d26-4599c4dd8df5"/>
  </r>
  <r>
    <s v="Alexander Collins"/>
    <x v="3"/>
    <x v="2"/>
    <n v="1"/>
    <n v="71272.62"/>
    <n v="71272.62"/>
    <x v="98"/>
    <x v="1"/>
    <x v="19"/>
    <n v="44"/>
    <x v="0"/>
    <s v="MIS-0198"/>
  </r>
  <r>
    <s v="Tina Sanders"/>
    <x v="7"/>
    <x v="7"/>
    <n v="58"/>
    <n v="200501.94"/>
    <n v="11629112.52"/>
    <x v="177"/>
    <x v="1"/>
    <x v="21"/>
    <n v="22"/>
    <x v="0"/>
    <s v="538d6b8c-c607-41e9-b80b-2cea658e54a2"/>
  </r>
  <r>
    <s v="Angela Vaughn"/>
    <x v="3"/>
    <x v="1"/>
    <n v="1"/>
    <n v="139885.79999999999"/>
    <n v="139885.79999999999"/>
    <x v="171"/>
    <x v="1"/>
    <x v="14"/>
    <n v="3"/>
    <x v="2"/>
    <s v="c8969c5b-45f8-428d-a255-e1bb07958c1f"/>
  </r>
  <r>
    <s v="Ashley Barton"/>
    <x v="1"/>
    <x v="2"/>
    <n v="37"/>
    <n v="48335.19"/>
    <n v="1788402.03"/>
    <x v="178"/>
    <x v="0"/>
    <x v="9"/>
    <n v="20"/>
    <x v="1"/>
    <s v="3a67470c-7d98-402f-b357-41e5fe1a1ba9"/>
  </r>
  <r>
    <s v="Lindsay Martinez"/>
    <x v="6"/>
    <x v="7"/>
    <n v="83"/>
    <n v="0"/>
    <n v="0"/>
    <x v="109"/>
    <x v="0"/>
    <x v="8"/>
    <n v="24"/>
    <x v="1"/>
    <s v="601bfbcb-f0ee-4cce-8d93-e14a5b167158"/>
  </r>
  <r>
    <s v="Dr. Hannah Patterson"/>
    <x v="9"/>
    <x v="7"/>
    <n v="1"/>
    <n v="205979.05"/>
    <n v="205979.05"/>
    <x v="179"/>
    <x v="2"/>
    <x v="10"/>
    <n v="46"/>
    <x v="1"/>
    <s v="95fbe976-ae00-4b7e-af8c-83e56e8d9644"/>
  </r>
  <r>
    <s v="Jonathan Peterson"/>
    <x v="3"/>
    <x v="2"/>
    <n v="1"/>
    <n v="276970.25"/>
    <n v="276970.25"/>
    <x v="180"/>
    <x v="0"/>
    <x v="0"/>
    <n v="14"/>
    <x v="3"/>
    <s v="c5acc354-15f0-4cb4-a14c-721da921cb4c"/>
  </r>
  <r>
    <s v="Samantha Garcia"/>
    <x v="6"/>
    <x v="1"/>
    <n v="1"/>
    <n v="266396.52"/>
    <n v="266396.52"/>
    <x v="181"/>
    <x v="1"/>
    <x v="1"/>
    <n v="12"/>
    <x v="2"/>
    <s v="3f175534-cc4d-4819-8b9d-fd589e5d9c7a"/>
  </r>
  <r>
    <s v="Madison Poole"/>
    <x v="9"/>
    <x v="0"/>
    <n v="1"/>
    <n v="231067.39"/>
    <n v="231067.39"/>
    <x v="182"/>
    <x v="0"/>
    <x v="24"/>
    <n v="27"/>
    <x v="2"/>
    <s v="4499d0a6-1500-4170-92d1-5585b68e47fa"/>
  </r>
  <r>
    <s v="Jessica Gross"/>
    <x v="15"/>
    <x v="4"/>
    <n v="1"/>
    <n v="207241.97"/>
    <n v="207241.97"/>
    <x v="183"/>
    <x v="1"/>
    <x v="19"/>
    <n v="40"/>
    <x v="3"/>
    <s v="c8ad0899-b630-494d-a147-adeb277b0667"/>
  </r>
  <r>
    <s v="Debra Morton"/>
    <x v="6"/>
    <x v="7"/>
    <n v="1"/>
    <n v="191794.04"/>
    <n v="191794.04"/>
    <x v="184"/>
    <x v="0"/>
    <x v="4"/>
    <n v="4"/>
    <x v="1"/>
    <s v="63be441d-bd5a-4c9e-a77e-b0aaa247541d"/>
  </r>
  <r>
    <s v="Karen Graham"/>
    <x v="11"/>
    <x v="2"/>
    <n v="1"/>
    <n v="282220.37"/>
    <n v="282220.37"/>
    <x v="155"/>
    <x v="1"/>
    <x v="1"/>
    <n v="10"/>
    <x v="3"/>
    <s v="176de21f-1b46-4bdc-9c56-d9bc5111d31d"/>
  </r>
  <r>
    <s v="Unknown Customer"/>
    <x v="3"/>
    <x v="0"/>
    <n v="1"/>
    <n v="110579.4"/>
    <n v="110579.4"/>
    <x v="185"/>
    <x v="2"/>
    <x v="16"/>
    <n v="49"/>
    <x v="0"/>
    <s v="71da35b9-4eea-4db8-b165-d77901547950"/>
  </r>
  <r>
    <s v="Debra Christian"/>
    <x v="2"/>
    <x v="0"/>
    <n v="65"/>
    <n v="66644.350000000006"/>
    <n v="4331882.75"/>
    <x v="186"/>
    <x v="0"/>
    <x v="22"/>
    <n v="8"/>
    <x v="3"/>
    <s v="1a2bd69c-450f-49ee-82e7-9a985c238d8d"/>
  </r>
  <r>
    <s v="Angelica Keith"/>
    <x v="19"/>
    <x v="0"/>
    <n v="1"/>
    <n v="0"/>
    <n v="0"/>
    <x v="187"/>
    <x v="2"/>
    <x v="10"/>
    <n v="45"/>
    <x v="3"/>
    <s v="MIS-0212"/>
  </r>
  <r>
    <s v="John Bishop"/>
    <x v="10"/>
    <x v="5"/>
    <n v="1"/>
    <n v="287229.48"/>
    <n v="287229.48"/>
    <x v="188"/>
    <x v="1"/>
    <x v="13"/>
    <n v="31"/>
    <x v="1"/>
    <s v="6e54ac6d-2ff8-487e-9659-1c8921ebfaa9"/>
  </r>
  <r>
    <s v="Allen Rosales"/>
    <x v="5"/>
    <x v="1"/>
    <n v="92"/>
    <n v="143715.48000000001"/>
    <n v="13221824.16"/>
    <x v="163"/>
    <x v="1"/>
    <x v="13"/>
    <n v="33"/>
    <x v="0"/>
    <s v="832f52c4-8e03-40cf-8e96-922772e76b51"/>
  </r>
  <r>
    <s v="Daniel Salinas"/>
    <x v="4"/>
    <x v="7"/>
    <n v="1"/>
    <n v="136766.10999999999"/>
    <n v="136766.10999999999"/>
    <x v="168"/>
    <x v="1"/>
    <x v="17"/>
    <n v="28"/>
    <x v="1"/>
    <s v="16f142a2-06b9-49aa-9a71-67c768759545"/>
  </r>
  <r>
    <s v="Spencer Haynes"/>
    <x v="7"/>
    <x v="2"/>
    <n v="23"/>
    <n v="296656.96999999997"/>
    <n v="6823110.3099999996"/>
    <x v="188"/>
    <x v="1"/>
    <x v="13"/>
    <n v="31"/>
    <x v="0"/>
    <s v="98d00c2c-17d3-4f32-8de1-596c5a9a206a"/>
  </r>
  <r>
    <s v="Adam Vaughan"/>
    <x v="7"/>
    <x v="0"/>
    <n v="1"/>
    <n v="112400.64"/>
    <n v="112400.64"/>
    <x v="189"/>
    <x v="0"/>
    <x v="9"/>
    <n v="21"/>
    <x v="0"/>
    <s v="dd1ca267-530d-4da6-88d0-f9e5991965ea"/>
  </r>
  <r>
    <s v="Nathan Freeman"/>
    <x v="19"/>
    <x v="4"/>
    <n v="1"/>
    <n v="210731.25"/>
    <n v="210731.25"/>
    <x v="190"/>
    <x v="1"/>
    <x v="1"/>
    <n v="10"/>
    <x v="0"/>
    <s v="69ef74e3-4ab6-421c-8328-c136629ef3d8"/>
  </r>
  <r>
    <s v="Melissa Brewer"/>
    <x v="3"/>
    <x v="4"/>
    <n v="1"/>
    <n v="273882.67"/>
    <n v="273882.67"/>
    <x v="130"/>
    <x v="1"/>
    <x v="17"/>
    <n v="31"/>
    <x v="1"/>
    <s v="b98f5dbe-15ae-4e0f-8777-a07f6346d4ef"/>
  </r>
  <r>
    <s v="Ricky Davis Ii"/>
    <x v="19"/>
    <x v="6"/>
    <n v="79"/>
    <n v="227326.48"/>
    <n v="17958791.920000002"/>
    <x v="191"/>
    <x v="2"/>
    <x v="18"/>
    <n v="30"/>
    <x v="0"/>
    <s v="fe2390f3-e7bb-4efc-8f3d-c97fe6b0da0a"/>
  </r>
  <r>
    <s v="Elizabeth Perkins"/>
    <x v="8"/>
    <x v="0"/>
    <n v="1"/>
    <n v="240697.5"/>
    <n v="240697.5"/>
    <x v="192"/>
    <x v="2"/>
    <x v="20"/>
    <n v="38"/>
    <x v="2"/>
    <s v="85671b58-926b-4fa5-be24-5fbffa698cd2"/>
  </r>
  <r>
    <s v="Joseph Coleman"/>
    <x v="10"/>
    <x v="4"/>
    <n v="1"/>
    <n v="0"/>
    <n v="0"/>
    <x v="193"/>
    <x v="1"/>
    <x v="21"/>
    <n v="19"/>
    <x v="2"/>
    <s v="2b64777c-6177-4771-af70-de702b69c95e"/>
  </r>
  <r>
    <s v="Unknown Customer"/>
    <x v="0"/>
    <x v="7"/>
    <n v="1"/>
    <n v="247768.25"/>
    <n v="247768.25"/>
    <x v="194"/>
    <x v="1"/>
    <x v="13"/>
    <n v="32"/>
    <x v="2"/>
    <s v="44b64ec1-4d16-4049-84d7-df9a238b05b7"/>
  </r>
  <r>
    <s v="Erin Warner"/>
    <x v="0"/>
    <x v="1"/>
    <n v="1"/>
    <n v="228676.96"/>
    <n v="228676.96"/>
    <x v="195"/>
    <x v="1"/>
    <x v="23"/>
    <n v="27"/>
    <x v="2"/>
    <s v="2ace1aa9-1032-46b3-a55b-fc1c7e3d5ee4"/>
  </r>
  <r>
    <s v="David Martinez"/>
    <x v="8"/>
    <x v="1"/>
    <n v="1"/>
    <n v="204262.41"/>
    <n v="204262.41"/>
    <x v="196"/>
    <x v="1"/>
    <x v="14"/>
    <n v="2"/>
    <x v="2"/>
    <s v="4cbc9044-6bcd-4ce7-86a5-6fe86f46f1b1"/>
  </r>
  <r>
    <s v="Bryan Herrera"/>
    <x v="17"/>
    <x v="2"/>
    <n v="1"/>
    <n v="178946.43"/>
    <n v="178946.43"/>
    <x v="197"/>
    <x v="2"/>
    <x v="16"/>
    <n v="52"/>
    <x v="2"/>
    <s v="MIS-0226"/>
  </r>
  <r>
    <s v="Cathy Robinson"/>
    <x v="8"/>
    <x v="4"/>
    <n v="1"/>
    <n v="236317.52"/>
    <n v="236317.52"/>
    <x v="198"/>
    <x v="1"/>
    <x v="19"/>
    <n v="41"/>
    <x v="1"/>
    <s v="5c72aebd-13b1-4e59-885c-d7147bf69552"/>
  </r>
  <r>
    <s v="Dr. William Warren"/>
    <x v="8"/>
    <x v="3"/>
    <n v="1"/>
    <n v="157889.24"/>
    <n v="157889.24"/>
    <x v="199"/>
    <x v="1"/>
    <x v="3"/>
    <n v="15"/>
    <x v="2"/>
    <s v="b88cddde-3f20-46c2-b1b8-8d65406f64d6"/>
  </r>
  <r>
    <s v="Brian Lee"/>
    <x v="13"/>
    <x v="4"/>
    <n v="1"/>
    <n v="158687.85"/>
    <n v="158687.85"/>
    <x v="200"/>
    <x v="2"/>
    <x v="5"/>
    <n v="33"/>
    <x v="3"/>
    <s v="9dde0188-9803-422e-beec-e88da002352a"/>
  </r>
  <r>
    <s v="Christopher Smith"/>
    <x v="9"/>
    <x v="6"/>
    <n v="1"/>
    <n v="108854.57"/>
    <n v="108854.57"/>
    <x v="174"/>
    <x v="2"/>
    <x v="5"/>
    <n v="33"/>
    <x v="3"/>
    <s v="22af711f-1b62-4a9d-b536-6b9f320f72c0"/>
  </r>
  <r>
    <s v="Denise Mccann"/>
    <x v="0"/>
    <x v="3"/>
    <n v="1"/>
    <n v="275214.78999999998"/>
    <n v="275214.78999999998"/>
    <x v="201"/>
    <x v="1"/>
    <x v="7"/>
    <n v="7"/>
    <x v="2"/>
    <s v="654c11d9-f2e6-4828-81bb-819c4dfe1117"/>
  </r>
  <r>
    <s v="Melissa Martinez"/>
    <x v="9"/>
    <x v="6"/>
    <n v="78"/>
    <n v="0"/>
    <n v="0"/>
    <x v="202"/>
    <x v="1"/>
    <x v="17"/>
    <n v="31"/>
    <x v="3"/>
    <s v="614077d3-9ec4-4a48-9773-f98d550c2fe9"/>
  </r>
  <r>
    <s v="Katherine Salas"/>
    <x v="16"/>
    <x v="0"/>
    <n v="43"/>
    <n v="34106.53"/>
    <n v="1466580.79"/>
    <x v="203"/>
    <x v="1"/>
    <x v="19"/>
    <n v="42"/>
    <x v="2"/>
    <s v="70b27304-545c-488d-9cb9-075ecdd7f460"/>
  </r>
  <r>
    <s v="Julie Alexander"/>
    <x v="15"/>
    <x v="0"/>
    <n v="1"/>
    <n v="248717.83"/>
    <n v="248717.83"/>
    <x v="204"/>
    <x v="0"/>
    <x v="9"/>
    <n v="22"/>
    <x v="2"/>
    <s v="d2d33488-d0c3-4018-ae3c-dd4f55b145e4"/>
  </r>
  <r>
    <s v="Anthony Everett"/>
    <x v="0"/>
    <x v="2"/>
    <n v="1"/>
    <n v="270915"/>
    <n v="270915"/>
    <x v="112"/>
    <x v="0"/>
    <x v="0"/>
    <n v="17"/>
    <x v="3"/>
    <s v="982a2277-f966-459f-a6aa-59e5dc08bf29"/>
  </r>
  <r>
    <s v="Unknown Customer"/>
    <x v="3"/>
    <x v="6"/>
    <n v="1"/>
    <n v="61045.96"/>
    <n v="61045.96"/>
    <x v="205"/>
    <x v="1"/>
    <x v="11"/>
    <n v="48"/>
    <x v="3"/>
    <s v="9a6c0db9-5217-4c88-8ce9-53a722d90db3"/>
  </r>
  <r>
    <s v="Rodney Morales"/>
    <x v="10"/>
    <x v="2"/>
    <n v="1"/>
    <n v="161229.72"/>
    <n v="161229.72"/>
    <x v="206"/>
    <x v="1"/>
    <x v="2"/>
    <n v="50"/>
    <x v="0"/>
    <s v="7aa061e9-336b-40cb-b1fe-ad13f280df1d"/>
  </r>
  <r>
    <s v="Mark Brown"/>
    <x v="10"/>
    <x v="7"/>
    <n v="51"/>
    <n v="49778.879999999997"/>
    <n v="2538722.88"/>
    <x v="207"/>
    <x v="1"/>
    <x v="17"/>
    <n v="28"/>
    <x v="2"/>
    <s v="65f30779-f6ee-4cdb-ad79-a2d1506e50c7"/>
  </r>
  <r>
    <s v="Justin Torres"/>
    <x v="5"/>
    <x v="4"/>
    <n v="1"/>
    <n v="256418.56"/>
    <n v="256418.56"/>
    <x v="208"/>
    <x v="1"/>
    <x v="7"/>
    <n v="7"/>
    <x v="2"/>
    <s v="bc20b9f2-4a9c-489e-91b3-0182f7fe604f"/>
  </r>
  <r>
    <s v="Bailey Duran Dds"/>
    <x v="13"/>
    <x v="3"/>
    <n v="1"/>
    <n v="132831.25"/>
    <n v="132831.25"/>
    <x v="209"/>
    <x v="1"/>
    <x v="13"/>
    <n v="35"/>
    <x v="3"/>
    <s v="MIS-0240"/>
  </r>
  <r>
    <s v="Courtney Mills"/>
    <x v="4"/>
    <x v="3"/>
    <n v="1"/>
    <n v="204248.42"/>
    <n v="204248.42"/>
    <x v="210"/>
    <x v="2"/>
    <x v="18"/>
    <n v="29"/>
    <x v="2"/>
    <s v="f7bf5244-7db2-47aa-a205-e54fb1e8c09d"/>
  </r>
  <r>
    <s v="Jeremy Dalton"/>
    <x v="8"/>
    <x v="2"/>
    <n v="1"/>
    <n v="0"/>
    <n v="0"/>
    <x v="211"/>
    <x v="0"/>
    <x v="0"/>
    <n v="18"/>
    <x v="3"/>
    <s v="536d47d7-3e0f-44ce-882f-78fd936cd31c"/>
  </r>
  <r>
    <s v="Elizabeth Oliver Dds"/>
    <x v="14"/>
    <x v="4"/>
    <n v="1"/>
    <n v="215216.93"/>
    <n v="215216.93"/>
    <x v="212"/>
    <x v="2"/>
    <x v="15"/>
    <n v="40"/>
    <x v="3"/>
    <s v="c92e8c93-d105-48d6-87c1-c01760452909"/>
  </r>
  <r>
    <s v="Theresa Clark"/>
    <x v="2"/>
    <x v="1"/>
    <n v="1"/>
    <n v="146903.98000000001"/>
    <n v="146903.98000000001"/>
    <x v="213"/>
    <x v="1"/>
    <x v="23"/>
    <n v="24"/>
    <x v="0"/>
    <s v="ee9bf3e1-1d27-409a-9d71-a89864976593"/>
  </r>
  <r>
    <s v="Matthew Moore"/>
    <x v="13"/>
    <x v="3"/>
    <n v="1"/>
    <n v="269717.36"/>
    <n v="269717.36"/>
    <x v="214"/>
    <x v="2"/>
    <x v="15"/>
    <n v="43"/>
    <x v="2"/>
    <s v="ff4cc10f-979c-40cf-b326-1887905881df"/>
  </r>
  <r>
    <s v="Benjamin Smith"/>
    <x v="3"/>
    <x v="1"/>
    <n v="1"/>
    <n v="133922.07"/>
    <n v="133922.07"/>
    <x v="204"/>
    <x v="0"/>
    <x v="9"/>
    <n v="22"/>
    <x v="2"/>
    <s v="c4829b71-ae84-481c-ae0f-b5b38bae591e"/>
  </r>
  <r>
    <s v="Kirk Carter"/>
    <x v="6"/>
    <x v="4"/>
    <n v="1"/>
    <n v="17162.919999999998"/>
    <n v="17162.919999999998"/>
    <x v="123"/>
    <x v="1"/>
    <x v="7"/>
    <n v="5"/>
    <x v="1"/>
    <s v="ba2aa7ba-f3f8-4c31-86e3-f9498cd34c62"/>
  </r>
  <r>
    <s v="Michael Warner"/>
    <x v="13"/>
    <x v="1"/>
    <n v="1"/>
    <n v="40017.33"/>
    <n v="40017.33"/>
    <x v="215"/>
    <x v="0"/>
    <x v="4"/>
    <n v="5"/>
    <x v="0"/>
    <s v="35ab8466-b557-4b00-b166-cdcf762cdfbc"/>
  </r>
  <r>
    <s v="Unknown Customer"/>
    <x v="5"/>
    <x v="7"/>
    <n v="1"/>
    <n v="124919.66"/>
    <n v="124919.66"/>
    <x v="216"/>
    <x v="1"/>
    <x v="3"/>
    <n v="16"/>
    <x v="2"/>
    <s v="d4cee27c-4a94-4e9f-8c35-1e4f703e957f"/>
  </r>
  <r>
    <s v="Michael Bradshaw"/>
    <x v="0"/>
    <x v="6"/>
    <n v="40"/>
    <n v="169391.4"/>
    <n v="6775656"/>
    <x v="217"/>
    <x v="0"/>
    <x v="22"/>
    <n v="9"/>
    <x v="0"/>
    <s v="d908a121-d1a7-4a20-91b4-61e9b15da72d"/>
  </r>
  <r>
    <s v="Lori Guerrero"/>
    <x v="9"/>
    <x v="0"/>
    <n v="1"/>
    <n v="167859.76"/>
    <n v="167859.76"/>
    <x v="218"/>
    <x v="1"/>
    <x v="21"/>
    <n v="21"/>
    <x v="2"/>
    <s v="ac484366-68bd-40d7-8b88-1c32cbb02a8b"/>
  </r>
  <r>
    <s v="Jessica Stephens"/>
    <x v="5"/>
    <x v="0"/>
    <n v="1"/>
    <n v="0"/>
    <n v="0"/>
    <x v="216"/>
    <x v="1"/>
    <x v="3"/>
    <n v="16"/>
    <x v="2"/>
    <s v="4d8670bd-a222-4f96-a3a1-3e207fd255ee"/>
  </r>
  <r>
    <s v="Susan Serrano"/>
    <x v="1"/>
    <x v="2"/>
    <n v="25"/>
    <n v="201993.93"/>
    <n v="5049848.25"/>
    <x v="120"/>
    <x v="2"/>
    <x v="5"/>
    <n v="33"/>
    <x v="1"/>
    <s v="2775ee42-a89e-42f2-80af-bf3f3df51967"/>
  </r>
  <r>
    <s v="Christopher Parker"/>
    <x v="6"/>
    <x v="7"/>
    <n v="18"/>
    <n v="92796.78"/>
    <n v="1670342.04"/>
    <x v="219"/>
    <x v="1"/>
    <x v="21"/>
    <n v="20"/>
    <x v="1"/>
    <s v="MIS-0254"/>
  </r>
  <r>
    <s v="Laura Roberts"/>
    <x v="3"/>
    <x v="3"/>
    <n v="1"/>
    <n v="7020.25"/>
    <n v="7020.25"/>
    <x v="174"/>
    <x v="2"/>
    <x v="5"/>
    <n v="33"/>
    <x v="2"/>
    <s v="6082786f-ca00-4f58-ac52-1d13b719bb68"/>
  </r>
  <r>
    <s v="Michael Lyons"/>
    <x v="14"/>
    <x v="2"/>
    <n v="1"/>
    <n v="76709.94"/>
    <n v="76709.94"/>
    <x v="220"/>
    <x v="1"/>
    <x v="6"/>
    <n v="39"/>
    <x v="3"/>
    <s v="9912316a-fd9e-4e20-b2f6-095812ef6101"/>
  </r>
  <r>
    <s v="Kathryn Snyder"/>
    <x v="8"/>
    <x v="2"/>
    <n v="1"/>
    <n v="1403.13"/>
    <n v="1403.13"/>
    <x v="164"/>
    <x v="1"/>
    <x v="6"/>
    <n v="38"/>
    <x v="0"/>
    <s v="88cc4d49-669b-49b8-950d-f1a07aaf2001"/>
  </r>
  <r>
    <s v="Andrew Reynolds"/>
    <x v="19"/>
    <x v="0"/>
    <n v="1"/>
    <n v="65761.440000000002"/>
    <n v="65761.440000000002"/>
    <x v="221"/>
    <x v="2"/>
    <x v="16"/>
    <n v="49"/>
    <x v="1"/>
    <s v="dea050c6-eb9e-4274-ac6a-37ad81b15db9"/>
  </r>
  <r>
    <s v="David Davis"/>
    <x v="19"/>
    <x v="4"/>
    <n v="1"/>
    <n v="22372.34"/>
    <n v="22372.34"/>
    <x v="222"/>
    <x v="1"/>
    <x v="3"/>
    <n v="16"/>
    <x v="3"/>
    <s v="09697101-8b2c-450a-ab15-c11bb113d50b"/>
  </r>
  <r>
    <s v="Sara Johnston"/>
    <x v="10"/>
    <x v="3"/>
    <n v="1"/>
    <n v="127397.37"/>
    <n v="127397.37"/>
    <x v="223"/>
    <x v="1"/>
    <x v="6"/>
    <n v="37"/>
    <x v="2"/>
    <s v="b39e4df2-5c0a-4feb-b7ea-e66eca6caf9b"/>
  </r>
  <r>
    <s v="Yvonne Chambers"/>
    <x v="16"/>
    <x v="2"/>
    <n v="1"/>
    <n v="210265.27"/>
    <n v="210265.27"/>
    <x v="134"/>
    <x v="1"/>
    <x v="7"/>
    <n v="8"/>
    <x v="1"/>
    <s v="98049562-8972-4bbd-8ff2-b1c4e53f9644"/>
  </r>
  <r>
    <s v="Unknown Customer"/>
    <x v="9"/>
    <x v="3"/>
    <n v="49"/>
    <n v="0"/>
    <n v="0"/>
    <x v="52"/>
    <x v="2"/>
    <x v="20"/>
    <n v="36"/>
    <x v="2"/>
    <s v="1bffa279-15c1-404f-aa16-3354a35fc9c1"/>
  </r>
  <r>
    <s v="Andrew Avila"/>
    <x v="14"/>
    <x v="6"/>
    <n v="21"/>
    <n v="162578.47"/>
    <n v="3414147.87"/>
    <x v="224"/>
    <x v="1"/>
    <x v="21"/>
    <n v="19"/>
    <x v="3"/>
    <s v="aa2960fd-a858-44df-bf8c-1097c4da2c2e"/>
  </r>
  <r>
    <s v="Matthew Moon"/>
    <x v="16"/>
    <x v="4"/>
    <n v="1"/>
    <n v="18546.560000000001"/>
    <n v="18546.560000000001"/>
    <x v="225"/>
    <x v="1"/>
    <x v="13"/>
    <n v="32"/>
    <x v="2"/>
    <s v="9cd8758b-a5a1-4825-aa95-28c35ae1dbad"/>
  </r>
  <r>
    <s v="Kevin Walters"/>
    <x v="1"/>
    <x v="3"/>
    <n v="1"/>
    <n v="268318.42"/>
    <n v="268318.42"/>
    <x v="56"/>
    <x v="1"/>
    <x v="23"/>
    <n v="26"/>
    <x v="3"/>
    <s v="a520c3d0-fbcd-4f5e-902f-34650b570720"/>
  </r>
  <r>
    <s v="Brandon Bailey Md"/>
    <x v="16"/>
    <x v="1"/>
    <n v="57"/>
    <n v="295848.11"/>
    <n v="16863342.27"/>
    <x v="217"/>
    <x v="0"/>
    <x v="22"/>
    <n v="9"/>
    <x v="2"/>
    <s v="f780ef2f-664d-4922-a590-fd3cad6ecc57"/>
  </r>
  <r>
    <s v="Shannon Rivera"/>
    <x v="2"/>
    <x v="2"/>
    <n v="1"/>
    <n v="141885.32"/>
    <n v="141885.32"/>
    <x v="6"/>
    <x v="1"/>
    <x v="6"/>
    <n v="37"/>
    <x v="0"/>
    <s v="cbd5cc86-f739-46e9-94e3-8579c0afd193"/>
  </r>
  <r>
    <s v="Donna Landry"/>
    <x v="13"/>
    <x v="1"/>
    <n v="1"/>
    <n v="86483.67"/>
    <n v="86483.67"/>
    <x v="226"/>
    <x v="1"/>
    <x v="7"/>
    <n v="7"/>
    <x v="1"/>
    <s v="MIS-0268"/>
  </r>
  <r>
    <s v="Krista Gibson"/>
    <x v="18"/>
    <x v="4"/>
    <n v="1"/>
    <n v="54404.41"/>
    <n v="54404.41"/>
    <x v="227"/>
    <x v="0"/>
    <x v="0"/>
    <n v="15"/>
    <x v="1"/>
    <s v="193e4783-02b3-4254-9b1f-2eb16e3255a8"/>
  </r>
  <r>
    <s v="Frank Cordova"/>
    <x v="8"/>
    <x v="7"/>
    <n v="1"/>
    <n v="41060.949999999997"/>
    <n v="41060.949999999997"/>
    <x v="228"/>
    <x v="1"/>
    <x v="11"/>
    <n v="45"/>
    <x v="3"/>
    <s v="bf31c29f-82bb-4d84-b8d5-101f423cad9d"/>
  </r>
  <r>
    <s v="Jose Travis"/>
    <x v="5"/>
    <x v="1"/>
    <n v="1"/>
    <n v="192636.74"/>
    <n v="192636.74"/>
    <x v="58"/>
    <x v="1"/>
    <x v="2"/>
    <n v="51"/>
    <x v="2"/>
    <s v="b00ac64c-949c-48d4-8ed8-a80d84cfee39"/>
  </r>
  <r>
    <s v="Kimberly Gutierrez"/>
    <x v="19"/>
    <x v="2"/>
    <n v="58"/>
    <n v="0"/>
    <n v="0"/>
    <x v="229"/>
    <x v="1"/>
    <x v="19"/>
    <n v="44"/>
    <x v="2"/>
    <s v="5fc64cd0-721e-4b1f-b895-89399342a09f"/>
  </r>
  <r>
    <s v="Isaiah Avila"/>
    <x v="4"/>
    <x v="2"/>
    <n v="69"/>
    <n v="218922.21"/>
    <n v="15105632.49"/>
    <x v="230"/>
    <x v="2"/>
    <x v="15"/>
    <n v="41"/>
    <x v="1"/>
    <s v="adf75924-c5b8-486b-b68b-4f7e64215e66"/>
  </r>
  <r>
    <s v="Olivia Harris"/>
    <x v="10"/>
    <x v="0"/>
    <n v="1"/>
    <n v="289152.88"/>
    <n v="289152.88"/>
    <x v="61"/>
    <x v="2"/>
    <x v="15"/>
    <n v="42"/>
    <x v="2"/>
    <s v="2697384d-801e-4690-b0c0-7fcc96add4df"/>
  </r>
  <r>
    <s v="Unknown Customer"/>
    <x v="18"/>
    <x v="4"/>
    <n v="1"/>
    <n v="112651.05"/>
    <n v="112651.05"/>
    <x v="173"/>
    <x v="2"/>
    <x v="20"/>
    <n v="39"/>
    <x v="2"/>
    <s v="7b96e2d1-0649-4cf6-bf69-723d584fc85b"/>
  </r>
  <r>
    <s v="Tanya Kim"/>
    <x v="10"/>
    <x v="0"/>
    <n v="1"/>
    <n v="267454.40999999997"/>
    <n v="267454.40999999997"/>
    <x v="193"/>
    <x v="1"/>
    <x v="21"/>
    <n v="19"/>
    <x v="0"/>
    <s v="eba900e1-6a7d-4d96-8ba1-72331ac3bf31"/>
  </r>
  <r>
    <s v="Barbara Dudley"/>
    <x v="9"/>
    <x v="2"/>
    <n v="1"/>
    <n v="134836.87"/>
    <n v="134836.87"/>
    <x v="231"/>
    <x v="1"/>
    <x v="3"/>
    <n v="17"/>
    <x v="2"/>
    <s v="d4d13d55-1db6-4844-95fa-9483f633cc2d"/>
  </r>
  <r>
    <s v="Cynthia Moore"/>
    <x v="7"/>
    <x v="6"/>
    <n v="1"/>
    <n v="275175.96999999997"/>
    <n v="275175.96999999997"/>
    <x v="232"/>
    <x v="0"/>
    <x v="12"/>
    <n v="12"/>
    <x v="1"/>
    <s v="592c1107-2444-4301-baeb-286bf0d0270f"/>
  </r>
  <r>
    <s v="Kristen Davis"/>
    <x v="5"/>
    <x v="2"/>
    <n v="1"/>
    <n v="113560.16"/>
    <n v="113560.16"/>
    <x v="233"/>
    <x v="1"/>
    <x v="1"/>
    <n v="13"/>
    <x v="0"/>
    <s v="c8c5eb2a-7490-4deb-97d3-37d34fd80bbb"/>
  </r>
  <r>
    <s v="Susan Murray Md"/>
    <x v="9"/>
    <x v="0"/>
    <n v="1"/>
    <n v="24534.87"/>
    <n v="24534.87"/>
    <x v="234"/>
    <x v="1"/>
    <x v="6"/>
    <n v="38"/>
    <x v="2"/>
    <s v="592a3549-7ba1-49d0-8567-c80534f541c0"/>
  </r>
  <r>
    <s v="Kathleen Moran"/>
    <x v="15"/>
    <x v="0"/>
    <n v="54"/>
    <n v="289261.24"/>
    <n v="15620106.959999999"/>
    <x v="235"/>
    <x v="0"/>
    <x v="24"/>
    <n v="28"/>
    <x v="1"/>
    <s v="b8d49848-702b-449f-98fd-d2b979e5c9aa"/>
  </r>
  <r>
    <s v="Denise Davenport"/>
    <x v="9"/>
    <x v="4"/>
    <n v="1"/>
    <n v="0"/>
    <n v="0"/>
    <x v="236"/>
    <x v="1"/>
    <x v="3"/>
    <n v="16"/>
    <x v="0"/>
    <s v="MIS-0282"/>
  </r>
  <r>
    <s v="Mrs. Kristen Reyes"/>
    <x v="9"/>
    <x v="7"/>
    <n v="1"/>
    <n v="262428.84000000003"/>
    <n v="262428.84000000003"/>
    <x v="237"/>
    <x v="0"/>
    <x v="22"/>
    <n v="8"/>
    <x v="2"/>
    <s v="1132567c-51a4-4d2a-b3d3-9457b25f13df"/>
  </r>
  <r>
    <s v="Katie Suarez"/>
    <x v="7"/>
    <x v="6"/>
    <n v="1"/>
    <n v="40330.449999999997"/>
    <n v="40330.449999999997"/>
    <x v="238"/>
    <x v="2"/>
    <x v="15"/>
    <n v="44"/>
    <x v="1"/>
    <s v="b5f59cb0-cf68-4878-8b70-59334cde1b6b"/>
  </r>
  <r>
    <s v="Desiree Tyler"/>
    <x v="19"/>
    <x v="5"/>
    <n v="1"/>
    <n v="258155.83"/>
    <n v="258155.83"/>
    <x v="239"/>
    <x v="2"/>
    <x v="16"/>
    <n v="50"/>
    <x v="2"/>
    <s v="57d3f4dd-d963-4c72-85c8-234b1d763a66"/>
  </r>
  <r>
    <s v="Timothy Romero"/>
    <x v="11"/>
    <x v="2"/>
    <n v="71"/>
    <n v="36030.629999999997"/>
    <n v="2558174.73"/>
    <x v="240"/>
    <x v="1"/>
    <x v="19"/>
    <n v="43"/>
    <x v="2"/>
    <s v="ccd015c1-ad59-40dd-9bff-3142a5e15b55"/>
  </r>
  <r>
    <s v="Diane Evans"/>
    <x v="11"/>
    <x v="7"/>
    <n v="1"/>
    <n v="297857.61"/>
    <n v="297857.61"/>
    <x v="20"/>
    <x v="1"/>
    <x v="13"/>
    <n v="32"/>
    <x v="3"/>
    <s v="bd90b81a-fbe0-46b8-ae0f-65a82a131c1f"/>
  </r>
  <r>
    <s v="Unknown Customer"/>
    <x v="14"/>
    <x v="4"/>
    <n v="1"/>
    <n v="118221.06"/>
    <n v="118221.06"/>
    <x v="219"/>
    <x v="1"/>
    <x v="21"/>
    <n v="20"/>
    <x v="3"/>
    <s v="8d49fe3f-2ca8-4783-8418-2d353e711433"/>
  </r>
  <r>
    <s v="Yvonne Burns"/>
    <x v="9"/>
    <x v="3"/>
    <n v="11"/>
    <n v="38640.449999999997"/>
    <n v="425044.94999999995"/>
    <x v="241"/>
    <x v="1"/>
    <x v="13"/>
    <n v="31"/>
    <x v="2"/>
    <s v="6d268b37-8f52-42d3-94bb-bcf828fea761"/>
  </r>
  <r>
    <s v="Joshua Reed"/>
    <x v="11"/>
    <x v="7"/>
    <n v="1"/>
    <n v="293627.95"/>
    <n v="293627.95"/>
    <x v="115"/>
    <x v="2"/>
    <x v="5"/>
    <n v="32"/>
    <x v="2"/>
    <s v="cc39b925-3b5a-4288-b649-2e64f55dce6d"/>
  </r>
  <r>
    <s v="Kimberly Gibson"/>
    <x v="6"/>
    <x v="2"/>
    <n v="66"/>
    <n v="250529.07"/>
    <n v="16534918.620000001"/>
    <x v="120"/>
    <x v="2"/>
    <x v="5"/>
    <n v="33"/>
    <x v="2"/>
    <s v="2fb70dab-2f38-4b43-a137-f8e467b13040"/>
  </r>
  <r>
    <s v="Colin Terry"/>
    <x v="14"/>
    <x v="7"/>
    <n v="56"/>
    <n v="0"/>
    <n v="0"/>
    <x v="242"/>
    <x v="2"/>
    <x v="5"/>
    <n v="32"/>
    <x v="3"/>
    <s v="6544e313-6ea0-4d13-a845-54c3a3f66c61"/>
  </r>
  <r>
    <s v="Cynthia Rowe"/>
    <x v="6"/>
    <x v="1"/>
    <n v="1"/>
    <n v="226975.73"/>
    <n v="226975.73"/>
    <x v="243"/>
    <x v="2"/>
    <x v="15"/>
    <n v="43"/>
    <x v="3"/>
    <s v="e212ab7c-9d36-4cb6-bcc5-7be00779250a"/>
  </r>
  <r>
    <s v="Patrick Thornton"/>
    <x v="12"/>
    <x v="0"/>
    <n v="45"/>
    <n v="293557.96000000002"/>
    <n v="13210108.200000001"/>
    <x v="244"/>
    <x v="0"/>
    <x v="4"/>
    <n v="3"/>
    <x v="2"/>
    <s v="6df72cd3-979a-4051-b317-591a3283daa4"/>
  </r>
  <r>
    <s v="Jasmin Alvarado"/>
    <x v="6"/>
    <x v="0"/>
    <n v="54"/>
    <n v="139169.67000000001"/>
    <n v="7515162.1800000006"/>
    <x v="245"/>
    <x v="1"/>
    <x v="1"/>
    <n v="13"/>
    <x v="3"/>
    <s v="36fce0ac-b469-4db3-8123-a348638abdf6"/>
  </r>
  <r>
    <s v="Veronica Simpson"/>
    <x v="3"/>
    <x v="2"/>
    <n v="1"/>
    <n v="215868.65"/>
    <n v="215868.65"/>
    <x v="34"/>
    <x v="0"/>
    <x v="12"/>
    <n v="13"/>
    <x v="2"/>
    <s v="MIS-0296"/>
  </r>
  <r>
    <s v="Jonathan Lawrence"/>
    <x v="16"/>
    <x v="1"/>
    <n v="48"/>
    <n v="127526.34"/>
    <n v="6121264.3200000003"/>
    <x v="246"/>
    <x v="1"/>
    <x v="17"/>
    <n v="28"/>
    <x v="2"/>
    <s v="b4299924-c098-4750-8741-9b4834ae4abd"/>
  </r>
  <r>
    <s v="Shelly Alexander"/>
    <x v="0"/>
    <x v="6"/>
    <n v="50"/>
    <n v="114093.3"/>
    <n v="5704665"/>
    <x v="87"/>
    <x v="1"/>
    <x v="13"/>
    <n v="33"/>
    <x v="2"/>
    <s v="93cd1291-1004-4d82-8bc7-2f1acf08ea54"/>
  </r>
  <r>
    <s v="Joyce Bowen"/>
    <x v="7"/>
    <x v="0"/>
    <n v="48"/>
    <n v="69284.39"/>
    <n v="3325650.7199999997"/>
    <x v="247"/>
    <x v="1"/>
    <x v="23"/>
    <n v="26"/>
    <x v="2"/>
    <s v="89718eea-df3a-498a-8cac-2fb51a0c6c04"/>
  </r>
  <r>
    <s v="Matthew Moore"/>
    <x v="3"/>
    <x v="4"/>
    <n v="1"/>
    <n v="138457.26999999999"/>
    <n v="138457.26999999999"/>
    <x v="248"/>
    <x v="2"/>
    <x v="10"/>
    <n v="44"/>
    <x v="3"/>
    <s v="327375bf-5373-4f4d-9da4-9cb92fdc9992"/>
  </r>
  <r>
    <s v="Unknown Customer"/>
    <x v="7"/>
    <x v="0"/>
    <n v="1"/>
    <n v="46958.85"/>
    <n v="46958.85"/>
    <x v="110"/>
    <x v="1"/>
    <x v="19"/>
    <n v="43"/>
    <x v="1"/>
    <s v="abb316a7-4329-4780-9d2c-272175220646"/>
  </r>
  <r>
    <s v="Wayne Morgan"/>
    <x v="12"/>
    <x v="5"/>
    <n v="1"/>
    <n v="0"/>
    <n v="0"/>
    <x v="249"/>
    <x v="0"/>
    <x v="8"/>
    <n v="23"/>
    <x v="2"/>
    <s v="f7464c02-8718-44c1-bd4e-d26edcd5bfae"/>
  </r>
  <r>
    <s v="Marie Christian"/>
    <x v="9"/>
    <x v="6"/>
    <n v="19"/>
    <n v="56949.9"/>
    <n v="1082048.1000000001"/>
    <x v="250"/>
    <x v="1"/>
    <x v="13"/>
    <n v="33"/>
    <x v="2"/>
    <s v="637ddcd6-98d3-448b-903b-4078a39c9ec6"/>
  </r>
  <r>
    <s v="Shannon James"/>
    <x v="12"/>
    <x v="5"/>
    <n v="1"/>
    <n v="262624.84999999998"/>
    <n v="262624.84999999998"/>
    <x v="251"/>
    <x v="2"/>
    <x v="15"/>
    <n v="43"/>
    <x v="1"/>
    <s v="1d3e503a-9645-40e4-a47d-c3929c7eb575"/>
  </r>
  <r>
    <s v="Nathan Malone"/>
    <x v="6"/>
    <x v="5"/>
    <n v="1"/>
    <n v="229764.23"/>
    <n v="229764.23"/>
    <x v="181"/>
    <x v="1"/>
    <x v="1"/>
    <n v="12"/>
    <x v="3"/>
    <s v="753659ef-d873-4ad9-9a1b-af0e591196dc"/>
  </r>
  <r>
    <s v="Amanda Jones"/>
    <x v="8"/>
    <x v="4"/>
    <n v="1"/>
    <n v="10149.09"/>
    <n v="10149.09"/>
    <x v="252"/>
    <x v="0"/>
    <x v="24"/>
    <n v="27"/>
    <x v="2"/>
    <s v="ac7051d1-d051-467f-ac2a-c34b9e0b7b01"/>
  </r>
  <r>
    <s v="Tammie Bright"/>
    <x v="7"/>
    <x v="1"/>
    <n v="1"/>
    <n v="198229.21"/>
    <n v="198229.21"/>
    <x v="253"/>
    <x v="1"/>
    <x v="19"/>
    <n v="44"/>
    <x v="0"/>
    <s v="eb2ec80e-4c25-4823-8cf4-ffb0b4bba73f"/>
  </r>
  <r>
    <s v="Jessica Garcia"/>
    <x v="7"/>
    <x v="5"/>
    <n v="79"/>
    <n v="184669.5"/>
    <n v="14588890.5"/>
    <x v="166"/>
    <x v="1"/>
    <x v="1"/>
    <n v="11"/>
    <x v="1"/>
    <s v="ac0f6801-15b2-4e1d-9715-46339d4edb71"/>
  </r>
  <r>
    <s v="Shelia Wallace"/>
    <x v="11"/>
    <x v="6"/>
    <n v="11"/>
    <n v="280903.26"/>
    <n v="3089935.8600000003"/>
    <x v="254"/>
    <x v="2"/>
    <x v="10"/>
    <n v="46"/>
    <x v="0"/>
    <s v="3d131a3d-1e2c-4e7d-902c-f0ee224a66a6"/>
  </r>
  <r>
    <s v="Stephanie Williams"/>
    <x v="15"/>
    <x v="0"/>
    <n v="33"/>
    <n v="266767.88"/>
    <n v="8803340.040000001"/>
    <x v="193"/>
    <x v="1"/>
    <x v="21"/>
    <n v="19"/>
    <x v="3"/>
    <s v="MIS-0310"/>
  </r>
  <r>
    <s v="Elaine Brooks"/>
    <x v="2"/>
    <x v="2"/>
    <n v="1"/>
    <n v="72579.56"/>
    <n v="72579.56"/>
    <x v="255"/>
    <x v="1"/>
    <x v="19"/>
    <n v="44"/>
    <x v="2"/>
    <s v="5f90fc87-2edc-417e-9df0-5d184e2d6255"/>
  </r>
  <r>
    <s v="Joseph Knight"/>
    <x v="10"/>
    <x v="6"/>
    <n v="1"/>
    <n v="0"/>
    <n v="0"/>
    <x v="256"/>
    <x v="0"/>
    <x v="22"/>
    <n v="6"/>
    <x v="2"/>
    <s v="63725424-82c5-4b21-a430-12dab1850eb8"/>
  </r>
  <r>
    <s v="Carolyn Miller"/>
    <x v="15"/>
    <x v="7"/>
    <n v="1"/>
    <n v="20653.63"/>
    <n v="20653.63"/>
    <x v="112"/>
    <x v="0"/>
    <x v="0"/>
    <n v="17"/>
    <x v="3"/>
    <s v="93267d25-234b-4562-98af-5cca6b11b7cb"/>
  </r>
  <r>
    <s v="Unknown Customer"/>
    <x v="3"/>
    <x v="0"/>
    <n v="1"/>
    <n v="178386.27"/>
    <n v="178386.27"/>
    <x v="10"/>
    <x v="1"/>
    <x v="7"/>
    <n v="9"/>
    <x v="2"/>
    <s v="7c966b55-2f8d-4ded-ac4c-450b623ad0fc"/>
  </r>
  <r>
    <s v="Lisa Allen"/>
    <x v="2"/>
    <x v="4"/>
    <n v="1"/>
    <n v="134209.1"/>
    <n v="134209.1"/>
    <x v="257"/>
    <x v="1"/>
    <x v="19"/>
    <n v="42"/>
    <x v="2"/>
    <s v="eb4e2281-b184-41fc-8991-b01aa2b03c4b"/>
  </r>
  <r>
    <s v="Briana Murray"/>
    <x v="16"/>
    <x v="5"/>
    <n v="16"/>
    <n v="201771.08"/>
    <n v="3228337.28"/>
    <x v="258"/>
    <x v="1"/>
    <x v="1"/>
    <n v="13"/>
    <x v="3"/>
    <s v="2c591da8-fff9-4acf-ae42-05eea52fc3ec"/>
  </r>
  <r>
    <s v="David Smith"/>
    <x v="4"/>
    <x v="2"/>
    <n v="1"/>
    <n v="261727.62"/>
    <n v="261727.62"/>
    <x v="259"/>
    <x v="1"/>
    <x v="13"/>
    <n v="32"/>
    <x v="3"/>
    <s v="49f1137d-7d59-4e19-aab7-b2ef8e0ec033"/>
  </r>
  <r>
    <s v="Stephanie Byrd"/>
    <x v="18"/>
    <x v="5"/>
    <n v="1"/>
    <n v="73797.88"/>
    <n v="73797.88"/>
    <x v="63"/>
    <x v="0"/>
    <x v="0"/>
    <n v="16"/>
    <x v="3"/>
    <s v="d78c57d3-5088-40d3-afe5-b14023ea7956"/>
  </r>
  <r>
    <s v="Jeremy Reed"/>
    <x v="13"/>
    <x v="4"/>
    <n v="59"/>
    <n v="13748.9"/>
    <n v="811185.1"/>
    <x v="20"/>
    <x v="1"/>
    <x v="13"/>
    <n v="32"/>
    <x v="3"/>
    <s v="dd92dd7c-0db9-47a9-9e91-a71c7374ccbf"/>
  </r>
  <r>
    <s v="Margaret Coleman"/>
    <x v="15"/>
    <x v="6"/>
    <n v="1"/>
    <n v="131969.35999999999"/>
    <n v="131969.35999999999"/>
    <x v="260"/>
    <x v="1"/>
    <x v="13"/>
    <n v="35"/>
    <x v="3"/>
    <s v="7c0f549d-0274-4f73-b3ab-ea0d5be9fdb3"/>
  </r>
  <r>
    <s v="Ryan Gonzalez"/>
    <x v="6"/>
    <x v="7"/>
    <n v="1"/>
    <n v="162158.06"/>
    <n v="162158.06"/>
    <x v="261"/>
    <x v="1"/>
    <x v="17"/>
    <n v="30"/>
    <x v="3"/>
    <s v="624a2a50-d0b1-4de0-b1f3-f0c022f3f068"/>
  </r>
  <r>
    <s v="John Young"/>
    <x v="1"/>
    <x v="0"/>
    <n v="1"/>
    <n v="0"/>
    <n v="0"/>
    <x v="83"/>
    <x v="0"/>
    <x v="4"/>
    <n v="2"/>
    <x v="2"/>
    <s v="a72f947d-8164-42cb-8fc3-d7d3f6bd80c7"/>
  </r>
  <r>
    <s v="Laura Haney"/>
    <x v="13"/>
    <x v="6"/>
    <n v="1"/>
    <n v="226438.52"/>
    <n v="226438.52"/>
    <x v="114"/>
    <x v="1"/>
    <x v="6"/>
    <n v="38"/>
    <x v="0"/>
    <s v="7de1bf5d-af48-47f0-a8bd-075b7eb6581e"/>
  </r>
  <r>
    <s v="William Barrett"/>
    <x v="12"/>
    <x v="7"/>
    <n v="1"/>
    <n v="232931.05"/>
    <n v="232931.05"/>
    <x v="10"/>
    <x v="1"/>
    <x v="7"/>
    <n v="9"/>
    <x v="2"/>
    <s v="MIS-0324"/>
  </r>
  <r>
    <s v="Keith Jennings"/>
    <x v="7"/>
    <x v="3"/>
    <n v="1"/>
    <n v="42470.6"/>
    <n v="42470.6"/>
    <x v="262"/>
    <x v="1"/>
    <x v="17"/>
    <n v="28"/>
    <x v="0"/>
    <s v="71a0449d-d703-462f-b5cb-e3f56a66c184"/>
  </r>
  <r>
    <s v="Amber Obrien"/>
    <x v="0"/>
    <x v="5"/>
    <n v="55"/>
    <n v="298048.28999999998"/>
    <n v="16392655.949999999"/>
    <x v="263"/>
    <x v="0"/>
    <x v="0"/>
    <n v="14"/>
    <x v="2"/>
    <s v="90bde900-1529-46f5-aad1-1fe87d1b695e"/>
  </r>
  <r>
    <s v="Unknown Customer"/>
    <x v="6"/>
    <x v="0"/>
    <n v="1"/>
    <n v="70631.37"/>
    <n v="70631.37"/>
    <x v="264"/>
    <x v="2"/>
    <x v="18"/>
    <n v="30"/>
    <x v="1"/>
    <s v="38749f3c-c2d4-4b56-8bbe-d98007e67cb0"/>
  </r>
  <r>
    <s v="Tanner Mitchell Dds"/>
    <x v="5"/>
    <x v="0"/>
    <n v="1"/>
    <n v="274960.90999999997"/>
    <n v="274960.90999999997"/>
    <x v="32"/>
    <x v="1"/>
    <x v="3"/>
    <n v="17"/>
    <x v="0"/>
    <s v="398f569b-465c-42cb-885e-b4894ac66780"/>
  </r>
  <r>
    <s v="Heather Fields"/>
    <x v="10"/>
    <x v="7"/>
    <n v="54"/>
    <n v="173045.05"/>
    <n v="9344432.6999999993"/>
    <x v="265"/>
    <x v="1"/>
    <x v="1"/>
    <n v="13"/>
    <x v="1"/>
    <s v="c7de96ea-2b0f-4e44-89e6-4c2289a0b7eb"/>
  </r>
  <r>
    <s v="Megan Le"/>
    <x v="11"/>
    <x v="3"/>
    <n v="1"/>
    <n v="173453.71"/>
    <n v="173453.71"/>
    <x v="266"/>
    <x v="1"/>
    <x v="2"/>
    <n v="51"/>
    <x v="2"/>
    <s v="c5c5ae8a-be15-4d12-90ce-77e9751303b9"/>
  </r>
  <r>
    <s v="Sara Fuller"/>
    <x v="2"/>
    <x v="2"/>
    <n v="1"/>
    <n v="231875.19"/>
    <n v="231875.19"/>
    <x v="267"/>
    <x v="2"/>
    <x v="15"/>
    <n v="40"/>
    <x v="2"/>
    <s v="82c42e48-8cba-4ae5-becc-daf4c4134dc2"/>
  </r>
  <r>
    <s v="Maria Parker"/>
    <x v="4"/>
    <x v="1"/>
    <n v="47"/>
    <n v="0"/>
    <n v="0"/>
    <x v="127"/>
    <x v="1"/>
    <x v="21"/>
    <n v="22"/>
    <x v="1"/>
    <s v="44945e09-1d3c-45a4-929d-63771cfb655f"/>
  </r>
  <r>
    <s v="Kevin Oconnor"/>
    <x v="17"/>
    <x v="2"/>
    <n v="1"/>
    <n v="245605.56"/>
    <n v="245605.56"/>
    <x v="198"/>
    <x v="1"/>
    <x v="19"/>
    <n v="41"/>
    <x v="2"/>
    <s v="fdab3441-d2c2-4960-8b09-01abc66dceb3"/>
  </r>
  <r>
    <s v="Edward Burgess"/>
    <x v="6"/>
    <x v="0"/>
    <n v="1"/>
    <n v="71452.759999999995"/>
    <n v="71452.759999999995"/>
    <x v="268"/>
    <x v="1"/>
    <x v="1"/>
    <n v="10"/>
    <x v="3"/>
    <s v="c1bcbe59-d296-412d-8ac3-5ac45deaa737"/>
  </r>
  <r>
    <s v="Carlos Ryan"/>
    <x v="3"/>
    <x v="0"/>
    <n v="71"/>
    <n v="262939.37"/>
    <n v="18668695.27"/>
    <x v="269"/>
    <x v="0"/>
    <x v="12"/>
    <n v="12"/>
    <x v="2"/>
    <s v="70fd6672-b80f-46c5-828f-a16b0aa6fcb9"/>
  </r>
  <r>
    <s v="Kiara Mcintyre"/>
    <x v="17"/>
    <x v="4"/>
    <n v="1"/>
    <n v="295715.82"/>
    <n v="295715.82"/>
    <x v="270"/>
    <x v="0"/>
    <x v="8"/>
    <n v="24"/>
    <x v="3"/>
    <s v="6cd6f011-fd61-413b-b7f2-5d368bddcee3"/>
  </r>
  <r>
    <s v="Dawn Summers"/>
    <x v="18"/>
    <x v="7"/>
    <n v="1"/>
    <n v="156614.69"/>
    <n v="156614.69"/>
    <x v="271"/>
    <x v="0"/>
    <x v="4"/>
    <n v="4"/>
    <x v="2"/>
    <s v="a757075b-d47f-43b1-bc69-c1551a37f6bd"/>
  </r>
  <r>
    <s v="Dr. Paul Morgan"/>
    <x v="14"/>
    <x v="3"/>
    <n v="1"/>
    <n v="124361.28"/>
    <n v="124361.28"/>
    <x v="272"/>
    <x v="0"/>
    <x v="9"/>
    <n v="21"/>
    <x v="2"/>
    <s v="MIS-0338"/>
  </r>
  <r>
    <s v="Victor Taylor"/>
    <x v="13"/>
    <x v="1"/>
    <n v="1"/>
    <n v="82908.600000000006"/>
    <n v="82908.600000000006"/>
    <x v="145"/>
    <x v="1"/>
    <x v="2"/>
    <n v="52"/>
    <x v="0"/>
    <s v="dff389aa-4c36-470c-bf5e-3b8cc0582da5"/>
  </r>
  <r>
    <s v="Unknown Customer"/>
    <x v="5"/>
    <x v="2"/>
    <n v="1"/>
    <n v="167237.07999999999"/>
    <n v="167237.07999999999"/>
    <x v="273"/>
    <x v="1"/>
    <x v="11"/>
    <n v="46"/>
    <x v="2"/>
    <s v="4347dbca-7321-48b2-8840-405affd2f491"/>
  </r>
  <r>
    <s v="Shannon Ramsey"/>
    <x v="18"/>
    <x v="7"/>
    <n v="1"/>
    <n v="177704.3"/>
    <n v="177704.3"/>
    <x v="29"/>
    <x v="2"/>
    <x v="18"/>
    <n v="31"/>
    <x v="0"/>
    <s v="164484a0-d115-4fff-9cb9-1d5f593c572b"/>
  </r>
  <r>
    <s v="Tracy Ballard"/>
    <x v="12"/>
    <x v="6"/>
    <n v="1"/>
    <n v="0"/>
    <n v="0"/>
    <x v="274"/>
    <x v="1"/>
    <x v="19"/>
    <n v="42"/>
    <x v="1"/>
    <s v="1e0d02b5-fe74-42cd-9d83-ad037066e289"/>
  </r>
  <r>
    <s v="Richard Smith"/>
    <x v="11"/>
    <x v="4"/>
    <n v="1"/>
    <n v="220696.03"/>
    <n v="220696.03"/>
    <x v="262"/>
    <x v="1"/>
    <x v="17"/>
    <n v="28"/>
    <x v="2"/>
    <s v="35ba9357-3ca8-4f31-8fd7-f3b9c68fcba5"/>
  </r>
  <r>
    <s v="Jordan Chambers"/>
    <x v="1"/>
    <x v="3"/>
    <n v="1"/>
    <n v="52952.39"/>
    <n v="52952.39"/>
    <x v="275"/>
    <x v="1"/>
    <x v="7"/>
    <n v="5"/>
    <x v="1"/>
    <s v="b06b0f0c-9682-4e22-bcd4-344fcf8a368e"/>
  </r>
  <r>
    <s v="Lauren Carson"/>
    <x v="5"/>
    <x v="4"/>
    <n v="1"/>
    <n v="203785.66"/>
    <n v="203785.66"/>
    <x v="276"/>
    <x v="1"/>
    <x v="2"/>
    <n v="49"/>
    <x v="2"/>
    <s v="9c3a1e0b-b5f3-48aa-9c6d-afff59c2f153"/>
  </r>
  <r>
    <s v="Ashley Hall"/>
    <x v="18"/>
    <x v="0"/>
    <n v="18"/>
    <n v="166977.26999999999"/>
    <n v="3005590.86"/>
    <x v="277"/>
    <x v="0"/>
    <x v="12"/>
    <n v="11"/>
    <x v="0"/>
    <s v="9dbc15c0-2a7d-457c-ad9c-5b50a1fd4187"/>
  </r>
  <r>
    <s v="Stephen Hoffman"/>
    <x v="0"/>
    <x v="4"/>
    <n v="1"/>
    <n v="14541.79"/>
    <n v="14541.79"/>
    <x v="278"/>
    <x v="0"/>
    <x v="12"/>
    <n v="10"/>
    <x v="3"/>
    <s v="d0437e4c-34e5-4699-88eb-e27a23a4e70e"/>
  </r>
  <r>
    <s v="Connie Brown"/>
    <x v="4"/>
    <x v="1"/>
    <n v="1"/>
    <n v="103652.24"/>
    <n v="103652.24"/>
    <x v="279"/>
    <x v="1"/>
    <x v="19"/>
    <n v="40"/>
    <x v="2"/>
    <s v="91f0647d-0f32-4333-8e31-593734fa32b6"/>
  </r>
  <r>
    <s v="Susan Turner"/>
    <x v="2"/>
    <x v="0"/>
    <n v="1"/>
    <n v="193173.16"/>
    <n v="193173.16"/>
    <x v="183"/>
    <x v="1"/>
    <x v="19"/>
    <n v="40"/>
    <x v="2"/>
    <s v="98cbaa52-47f5-4019-8843-8de259cf0b0d"/>
  </r>
  <r>
    <s v="Charles Shah"/>
    <x v="0"/>
    <x v="2"/>
    <n v="1"/>
    <n v="114655.81"/>
    <n v="114655.81"/>
    <x v="280"/>
    <x v="1"/>
    <x v="14"/>
    <n v="1"/>
    <x v="3"/>
    <s v="fa9fc10e-52da-4681-ab1a-c76c89ecbc51"/>
  </r>
  <r>
    <s v="Johnathan Davis"/>
    <x v="0"/>
    <x v="2"/>
    <n v="1"/>
    <n v="157576.69"/>
    <n v="157576.69"/>
    <x v="184"/>
    <x v="0"/>
    <x v="4"/>
    <n v="4"/>
    <x v="0"/>
    <s v="929ecc92-4a11-4e44-8aea-1b8fb43cde0a"/>
  </r>
  <r>
    <s v="Brandy Chavez"/>
    <x v="5"/>
    <x v="6"/>
    <n v="24"/>
    <n v="0"/>
    <n v="0"/>
    <x v="174"/>
    <x v="2"/>
    <x v="5"/>
    <n v="33"/>
    <x v="2"/>
    <s v="MIS-0352"/>
  </r>
  <r>
    <s v="Unknown Customer"/>
    <x v="4"/>
    <x v="0"/>
    <n v="1"/>
    <n v="209044.37"/>
    <n v="209044.37"/>
    <x v="198"/>
    <x v="1"/>
    <x v="19"/>
    <n v="41"/>
    <x v="1"/>
    <s v="83b0b35c-dba6-4df8-b3d0-4ffb44709848"/>
  </r>
  <r>
    <s v="Natalie Bautista"/>
    <x v="2"/>
    <x v="0"/>
    <n v="1"/>
    <n v="122773.62"/>
    <n v="122773.62"/>
    <x v="281"/>
    <x v="1"/>
    <x v="17"/>
    <n v="29"/>
    <x v="0"/>
    <s v="d0afb235-ade6-4f51-a670-93a0fc48f615"/>
  </r>
  <r>
    <s v="Patrick Moore"/>
    <x v="18"/>
    <x v="3"/>
    <n v="1"/>
    <n v="90316.6"/>
    <n v="90316.6"/>
    <x v="106"/>
    <x v="2"/>
    <x v="10"/>
    <n v="47"/>
    <x v="3"/>
    <s v="c0062b5b-f678-49b2-a2b5-f4571860ad28"/>
  </r>
  <r>
    <s v="Brett Burns"/>
    <x v="12"/>
    <x v="0"/>
    <n v="26"/>
    <n v="55571.75"/>
    <n v="1444865.5"/>
    <x v="282"/>
    <x v="1"/>
    <x v="13"/>
    <n v="34"/>
    <x v="1"/>
    <s v="0f2d5c15-eb34-4d3a-a95e-5ea9c9230c64"/>
  </r>
  <r>
    <s v="Trevor Johnson"/>
    <x v="10"/>
    <x v="1"/>
    <n v="26"/>
    <n v="161609.51999999999"/>
    <n v="4201847.5199999996"/>
    <x v="273"/>
    <x v="1"/>
    <x v="11"/>
    <n v="46"/>
    <x v="1"/>
    <s v="a7e8d18e-ddf6-44ac-86fe-acd4fe1393cd"/>
  </r>
  <r>
    <s v="Jeremy Sampson"/>
    <x v="15"/>
    <x v="6"/>
    <n v="1"/>
    <n v="72669.97"/>
    <n v="72669.97"/>
    <x v="184"/>
    <x v="0"/>
    <x v="4"/>
    <n v="4"/>
    <x v="0"/>
    <s v="21f8072d-ddb7-470e-b390-b059207bbe21"/>
  </r>
  <r>
    <s v="Ariana Jennings"/>
    <x v="10"/>
    <x v="3"/>
    <n v="1"/>
    <n v="67990.69"/>
    <n v="67990.69"/>
    <x v="283"/>
    <x v="1"/>
    <x v="11"/>
    <n v="45"/>
    <x v="3"/>
    <s v="5274ee11-b61d-4906-a570-35db3fead90a"/>
  </r>
  <r>
    <s v="Vanessa Howard"/>
    <x v="2"/>
    <x v="1"/>
    <n v="1"/>
    <n v="257333.6"/>
    <n v="257333.6"/>
    <x v="284"/>
    <x v="0"/>
    <x v="12"/>
    <n v="10"/>
    <x v="0"/>
    <s v="d7f34368-c2ef-4ecb-bf5f-bf4fd4176230"/>
  </r>
  <r>
    <s v="Colton Martinez"/>
    <x v="11"/>
    <x v="4"/>
    <n v="33"/>
    <n v="43733.35"/>
    <n v="1443200.55"/>
    <x v="285"/>
    <x v="0"/>
    <x v="0"/>
    <n v="17"/>
    <x v="2"/>
    <s v="24655c39-7d4d-4add-a488-0945ad1db537"/>
  </r>
  <r>
    <s v="Jordan Bates"/>
    <x v="19"/>
    <x v="2"/>
    <n v="1"/>
    <n v="0"/>
    <n v="0"/>
    <x v="286"/>
    <x v="1"/>
    <x v="21"/>
    <n v="18"/>
    <x v="2"/>
    <s v="a0b85755-44ca-45a2-a1e5-18a293d228d4"/>
  </r>
  <r>
    <s v="Linda Smith"/>
    <x v="2"/>
    <x v="6"/>
    <n v="1"/>
    <n v="139176.04"/>
    <n v="139176.04"/>
    <x v="287"/>
    <x v="2"/>
    <x v="10"/>
    <n v="44"/>
    <x v="2"/>
    <s v="135508d0-73b5-4ad5-a00b-4b356a0aa7d5"/>
  </r>
  <r>
    <s v="Dana Martinez"/>
    <x v="9"/>
    <x v="5"/>
    <n v="46"/>
    <n v="17758.37"/>
    <n v="816885.0199999999"/>
    <x v="288"/>
    <x v="0"/>
    <x v="0"/>
    <n v="15"/>
    <x v="1"/>
    <s v="c4d598f7-e14f-4093-8b6a-d0c7a2356dd4"/>
  </r>
  <r>
    <s v="Andrea Hubbard"/>
    <x v="6"/>
    <x v="2"/>
    <n v="1"/>
    <n v="124096.91"/>
    <n v="124096.91"/>
    <x v="58"/>
    <x v="1"/>
    <x v="2"/>
    <n v="51"/>
    <x v="2"/>
    <s v="bff30c8d-83ff-4e96-a721-3a7017d50f59"/>
  </r>
  <r>
    <s v="Unknown Customer"/>
    <x v="8"/>
    <x v="7"/>
    <n v="35"/>
    <n v="125244.11"/>
    <n v="4383543.8499999996"/>
    <x v="289"/>
    <x v="1"/>
    <x v="14"/>
    <n v="3"/>
    <x v="3"/>
    <s v="MIS-0366"/>
  </r>
  <r>
    <s v="Daniel Kane"/>
    <x v="2"/>
    <x v="2"/>
    <n v="1"/>
    <n v="159232.54999999999"/>
    <n v="159232.54999999999"/>
    <x v="290"/>
    <x v="2"/>
    <x v="5"/>
    <n v="31"/>
    <x v="2"/>
    <s v="e097dedb-efb3-4939-b1d8-18874739cc7b"/>
  </r>
  <r>
    <s v="Charles Lester"/>
    <x v="9"/>
    <x v="2"/>
    <n v="1"/>
    <n v="116831.51"/>
    <n v="116831.51"/>
    <x v="31"/>
    <x v="1"/>
    <x v="6"/>
    <n v="39"/>
    <x v="2"/>
    <s v="7cf07bb3-f343-49eb-b466-ef025e7b72c8"/>
  </r>
  <r>
    <s v="Scott Thomas"/>
    <x v="1"/>
    <x v="0"/>
    <n v="1"/>
    <n v="76871.199999999997"/>
    <n v="76871.199999999997"/>
    <x v="291"/>
    <x v="0"/>
    <x v="4"/>
    <n v="2"/>
    <x v="2"/>
    <s v="de70bd30-00a2-4367-94fb-09f053c93ae7"/>
  </r>
  <r>
    <s v="David Thompson"/>
    <x v="15"/>
    <x v="1"/>
    <n v="44"/>
    <n v="99413.77"/>
    <n v="4374205.88"/>
    <x v="267"/>
    <x v="2"/>
    <x v="15"/>
    <n v="40"/>
    <x v="2"/>
    <s v="17d821b8-bb93-4d40-98df-f535c62dbaea"/>
  </r>
  <r>
    <s v="Allison Smith"/>
    <x v="4"/>
    <x v="0"/>
    <n v="1"/>
    <n v="24181.59"/>
    <n v="24181.59"/>
    <x v="292"/>
    <x v="2"/>
    <x v="16"/>
    <n v="49"/>
    <x v="2"/>
    <s v="a284e8fd-755c-4e2a-b8de-d777bb1e5ae8"/>
  </r>
  <r>
    <s v="Cynthia Morris"/>
    <x v="2"/>
    <x v="0"/>
    <n v="1"/>
    <n v="0"/>
    <n v="0"/>
    <x v="293"/>
    <x v="2"/>
    <x v="18"/>
    <n v="30"/>
    <x v="0"/>
    <s v="d9a09007-5bb4-4c18-b281-87c4aa055442"/>
  </r>
  <r>
    <s v="Anthony Harmon"/>
    <x v="14"/>
    <x v="5"/>
    <n v="1"/>
    <n v="135211.15"/>
    <n v="135211.15"/>
    <x v="294"/>
    <x v="1"/>
    <x v="23"/>
    <n v="25"/>
    <x v="2"/>
    <s v="65d0b517-88d0-4abd-8bb1-8c791036708d"/>
  </r>
  <r>
    <s v="Nichole Alvarez"/>
    <x v="13"/>
    <x v="5"/>
    <n v="1"/>
    <n v="111637.71"/>
    <n v="111637.71"/>
    <x v="295"/>
    <x v="1"/>
    <x v="1"/>
    <n v="11"/>
    <x v="1"/>
    <s v="d3293724-6dfd-471a-b7d7-465d37c3b3c9"/>
  </r>
  <r>
    <s v="Kayla Rodriguez"/>
    <x v="5"/>
    <x v="6"/>
    <n v="55"/>
    <n v="160922.84"/>
    <n v="8850756.1999999993"/>
    <x v="296"/>
    <x v="1"/>
    <x v="21"/>
    <n v="22"/>
    <x v="2"/>
    <s v="52a74a41-44be-4486-bea5-a387363be5cb"/>
  </r>
  <r>
    <s v="Theresa Williams"/>
    <x v="8"/>
    <x v="0"/>
    <n v="1"/>
    <n v="248907.18"/>
    <n v="248907.18"/>
    <x v="297"/>
    <x v="2"/>
    <x v="10"/>
    <n v="45"/>
    <x v="1"/>
    <s v="8c1c8b05-5677-4f36-8899-8e5fd40e53ce"/>
  </r>
  <r>
    <s v="Sharon Boyd"/>
    <x v="5"/>
    <x v="5"/>
    <n v="1"/>
    <n v="15935.22"/>
    <n v="15935.22"/>
    <x v="298"/>
    <x v="1"/>
    <x v="21"/>
    <n v="22"/>
    <x v="2"/>
    <s v="da385db5-90ee-4067-a16e-9fe593f37596"/>
  </r>
  <r>
    <s v="Victor Brown"/>
    <x v="1"/>
    <x v="3"/>
    <n v="1"/>
    <n v="113461.81"/>
    <n v="113461.81"/>
    <x v="299"/>
    <x v="1"/>
    <x v="2"/>
    <n v="52"/>
    <x v="2"/>
    <s v="e4e751de-57ff-41d9-89ce-44bd7c3f1add"/>
  </r>
  <r>
    <s v="Unknown Customer"/>
    <x v="0"/>
    <x v="3"/>
    <n v="14"/>
    <n v="181688.35"/>
    <n v="2543636.9"/>
    <x v="151"/>
    <x v="2"/>
    <x v="16"/>
    <n v="50"/>
    <x v="2"/>
    <s v="0bc2ea72-0c64-4ca2-8323-1466aebbb90e"/>
  </r>
  <r>
    <s v="James Parks"/>
    <x v="6"/>
    <x v="6"/>
    <n v="1"/>
    <n v="12344.49"/>
    <n v="12344.49"/>
    <x v="49"/>
    <x v="1"/>
    <x v="21"/>
    <n v="21"/>
    <x v="1"/>
    <s v="MIS-0380"/>
  </r>
  <r>
    <s v="Theodore Jones Jr."/>
    <x v="4"/>
    <x v="3"/>
    <n v="1"/>
    <n v="22298.91"/>
    <n v="22298.91"/>
    <x v="300"/>
    <x v="1"/>
    <x v="13"/>
    <n v="31"/>
    <x v="1"/>
    <s v="d6321d31-c8ac-4fcf-a04d-4d14197dbae1"/>
  </r>
  <r>
    <s v="Ana Hill"/>
    <x v="5"/>
    <x v="6"/>
    <n v="1"/>
    <n v="0"/>
    <n v="0"/>
    <x v="284"/>
    <x v="0"/>
    <x v="12"/>
    <n v="10"/>
    <x v="1"/>
    <s v="edef5003-1fce-41e3-842b-03ca75a72686"/>
  </r>
  <r>
    <s v="Kimberly Nguyen"/>
    <x v="9"/>
    <x v="7"/>
    <n v="1"/>
    <n v="241492.86"/>
    <n v="241492.86"/>
    <x v="229"/>
    <x v="1"/>
    <x v="19"/>
    <n v="44"/>
    <x v="2"/>
    <s v="74de5f70-70f8-4dba-a871-9b9bdb8f0e32"/>
  </r>
  <r>
    <s v="Kerry Chavez Dds"/>
    <x v="17"/>
    <x v="5"/>
    <n v="1"/>
    <n v="176481.31"/>
    <n v="176481.31"/>
    <x v="301"/>
    <x v="0"/>
    <x v="8"/>
    <n v="26"/>
    <x v="1"/>
    <s v="6d84414d-f541-41ea-bde9-1c42002c4c22"/>
  </r>
  <r>
    <s v="Michael Farrell"/>
    <x v="7"/>
    <x v="0"/>
    <n v="1"/>
    <n v="201599.43"/>
    <n v="201599.43"/>
    <x v="302"/>
    <x v="1"/>
    <x v="17"/>
    <n v="28"/>
    <x v="2"/>
    <s v="e8cee951-b047-4ea4-bee5-ce6933cb202e"/>
  </r>
  <r>
    <s v="Patricia Le"/>
    <x v="5"/>
    <x v="6"/>
    <n v="58"/>
    <n v="65496.45"/>
    <n v="3798794.0999999996"/>
    <x v="272"/>
    <x v="0"/>
    <x v="9"/>
    <n v="21"/>
    <x v="0"/>
    <s v="4d470ed6-a666-4769-a1d4-6f8221c50e41"/>
  </r>
  <r>
    <s v="Jesse Perez"/>
    <x v="4"/>
    <x v="6"/>
    <n v="1"/>
    <n v="63062.28"/>
    <n v="63062.28"/>
    <x v="211"/>
    <x v="0"/>
    <x v="0"/>
    <n v="18"/>
    <x v="2"/>
    <s v="e0688849-eec7-4a30-9fda-35b228b2bf21"/>
  </r>
  <r>
    <s v="Jesse Perry"/>
    <x v="8"/>
    <x v="1"/>
    <n v="1"/>
    <n v="272156.33"/>
    <n v="272156.33"/>
    <x v="303"/>
    <x v="0"/>
    <x v="22"/>
    <n v="5"/>
    <x v="3"/>
    <s v="5c457e4d-a793-43b8-97e5-2113462623be"/>
  </r>
  <r>
    <s v="Jeffery Ortega"/>
    <x v="4"/>
    <x v="0"/>
    <n v="1"/>
    <n v="91304.81"/>
    <n v="91304.81"/>
    <x v="304"/>
    <x v="0"/>
    <x v="4"/>
    <n v="4"/>
    <x v="0"/>
    <s v="aa1d3fc6-5f31-473d-9519-830c40198303"/>
  </r>
  <r>
    <s v="Christian Leblanc"/>
    <x v="9"/>
    <x v="7"/>
    <n v="8"/>
    <n v="272743.75"/>
    <n v="2181950"/>
    <x v="305"/>
    <x v="2"/>
    <x v="5"/>
    <n v="35"/>
    <x v="1"/>
    <s v="0d41ee47-2a5f-4a18-a61f-0b96e75f745a"/>
  </r>
  <r>
    <s v="Ronald Davis"/>
    <x v="18"/>
    <x v="1"/>
    <n v="1"/>
    <n v="63936.43"/>
    <n v="63936.43"/>
    <x v="306"/>
    <x v="0"/>
    <x v="4"/>
    <n v="2"/>
    <x v="2"/>
    <s v="b9da5f8c-4e35-4a80-a027-9a186576a410"/>
  </r>
  <r>
    <s v="Unknown Customer"/>
    <x v="17"/>
    <x v="5"/>
    <n v="1"/>
    <n v="0"/>
    <n v="0"/>
    <x v="25"/>
    <x v="2"/>
    <x v="15"/>
    <n v="43"/>
    <x v="2"/>
    <s v="6de21429-3bf0-49c1-8156-e501b30e96e8"/>
  </r>
  <r>
    <s v="Parker Cain"/>
    <x v="9"/>
    <x v="4"/>
    <n v="1"/>
    <n v="57412.1"/>
    <n v="57412.1"/>
    <x v="76"/>
    <x v="1"/>
    <x v="13"/>
    <n v="33"/>
    <x v="2"/>
    <s v="185df528-b425-4e19-9758-d47ea7cde143"/>
  </r>
  <r>
    <s v="Laurie Hoffman"/>
    <x v="17"/>
    <x v="0"/>
    <n v="87"/>
    <n v="222571.82"/>
    <n v="19363748.34"/>
    <x v="307"/>
    <x v="2"/>
    <x v="16"/>
    <n v="51"/>
    <x v="2"/>
    <s v="MIS-0394"/>
  </r>
  <r>
    <s v="Bryan Gomez"/>
    <x v="10"/>
    <x v="4"/>
    <n v="4"/>
    <n v="224190.33"/>
    <n v="896761.32"/>
    <x v="308"/>
    <x v="1"/>
    <x v="6"/>
    <n v="38"/>
    <x v="1"/>
    <s v="13f3cade-7a10-413f-b6a2-c52b00473139"/>
  </r>
  <r>
    <s v="Nicole Parrish"/>
    <x v="3"/>
    <x v="0"/>
    <n v="1"/>
    <n v="226422.06"/>
    <n v="226422.06"/>
    <x v="309"/>
    <x v="1"/>
    <x v="1"/>
    <n v="12"/>
    <x v="2"/>
    <s v="84fa4c72-39e7-44f1-97fb-613a21f89d06"/>
  </r>
  <r>
    <s v="Tracy Burke"/>
    <x v="0"/>
    <x v="7"/>
    <n v="57"/>
    <n v="274375.17"/>
    <n v="15639384.689999999"/>
    <x v="310"/>
    <x v="1"/>
    <x v="2"/>
    <n v="49"/>
    <x v="3"/>
    <s v="02106371-0260-4123-b1ef-e72aae13591e"/>
  </r>
  <r>
    <s v="Kenneth Lewis"/>
    <x v="17"/>
    <x v="1"/>
    <n v="17"/>
    <n v="208840.07"/>
    <n v="3550281.19"/>
    <x v="45"/>
    <x v="1"/>
    <x v="17"/>
    <n v="29"/>
    <x v="3"/>
    <s v="1edf3bfa-d12e-4eb5-97f4-79b5b212a6ee"/>
  </r>
  <r>
    <s v="Courtney Rodriguez"/>
    <x v="5"/>
    <x v="6"/>
    <n v="1"/>
    <n v="211278.69"/>
    <n v="211278.69"/>
    <x v="46"/>
    <x v="1"/>
    <x v="13"/>
    <n v="34"/>
    <x v="2"/>
    <s v="b1ac040d-6c1c-4405-9c3f-42e0fcf7b842"/>
  </r>
  <r>
    <s v="Holly Farmer"/>
    <x v="8"/>
    <x v="1"/>
    <n v="1"/>
    <n v="119291.3"/>
    <n v="119291.3"/>
    <x v="311"/>
    <x v="1"/>
    <x v="3"/>
    <n v="18"/>
    <x v="2"/>
    <s v="3a9c4308-1221-4ddf-ba4a-902f21d63b0f"/>
  </r>
  <r>
    <s v="Renee Bruce"/>
    <x v="12"/>
    <x v="4"/>
    <n v="1"/>
    <n v="72179.62"/>
    <n v="72179.62"/>
    <x v="295"/>
    <x v="1"/>
    <x v="1"/>
    <n v="11"/>
    <x v="1"/>
    <s v="ce532ffd-bb13-4f02-96de-66c96210def6"/>
  </r>
  <r>
    <s v="Sabrina Austin"/>
    <x v="4"/>
    <x v="0"/>
    <n v="1"/>
    <n v="0"/>
    <n v="0"/>
    <x v="312"/>
    <x v="2"/>
    <x v="10"/>
    <n v="47"/>
    <x v="3"/>
    <s v="5e1885c3-5037-4d6b-9a6b-6a7d1a38aad6"/>
  </r>
  <r>
    <s v="Allison Hickman"/>
    <x v="3"/>
    <x v="2"/>
    <n v="1"/>
    <n v="96823.7"/>
    <n v="96823.7"/>
    <x v="313"/>
    <x v="1"/>
    <x v="17"/>
    <n v="27"/>
    <x v="3"/>
    <s v="61fa01ba-231a-47c7-8c9b-ff5ce1887eaf"/>
  </r>
  <r>
    <s v="Debra White"/>
    <x v="14"/>
    <x v="5"/>
    <n v="1"/>
    <n v="85276.23"/>
    <n v="85276.23"/>
    <x v="314"/>
    <x v="0"/>
    <x v="8"/>
    <n v="25"/>
    <x v="3"/>
    <s v="dfdf0e05-c0ce-431b-9038-e153c601818b"/>
  </r>
  <r>
    <s v="Unknown Customer"/>
    <x v="14"/>
    <x v="6"/>
    <n v="1"/>
    <n v="140142.01"/>
    <n v="140142.01"/>
    <x v="99"/>
    <x v="1"/>
    <x v="13"/>
    <n v="35"/>
    <x v="0"/>
    <s v="ad58db1b-fe31-437a-a43e-558c2215df00"/>
  </r>
  <r>
    <s v="Ellen Morgan"/>
    <x v="8"/>
    <x v="4"/>
    <n v="98"/>
    <n v="194792.04"/>
    <n v="19089619.920000002"/>
    <x v="315"/>
    <x v="1"/>
    <x v="3"/>
    <n v="14"/>
    <x v="0"/>
    <s v="9033da65-87cf-43fd-9183-6c4f249204c7"/>
  </r>
  <r>
    <s v="Sergio Knight"/>
    <x v="1"/>
    <x v="5"/>
    <n v="74"/>
    <n v="92872.47"/>
    <n v="6872562.7800000003"/>
    <x v="316"/>
    <x v="1"/>
    <x v="6"/>
    <n v="36"/>
    <x v="3"/>
    <s v="2a038ad4-a667-4982-9c3d-e1b0022b6683"/>
  </r>
  <r>
    <s v="Charles Schultz"/>
    <x v="14"/>
    <x v="6"/>
    <n v="1"/>
    <n v="108213.56"/>
    <n v="108213.56"/>
    <x v="317"/>
    <x v="1"/>
    <x v="3"/>
    <n v="15"/>
    <x v="2"/>
    <s v="MIS-0408"/>
  </r>
  <r>
    <s v="Paul Lewis"/>
    <x v="15"/>
    <x v="5"/>
    <n v="1"/>
    <n v="264902.18"/>
    <n v="264902.18"/>
    <x v="318"/>
    <x v="1"/>
    <x v="2"/>
    <n v="51"/>
    <x v="1"/>
    <s v="368acd40-b8f1-4e3c-99e7-703a70aa5b0d"/>
  </r>
  <r>
    <s v="Glen Wood"/>
    <x v="8"/>
    <x v="0"/>
    <n v="1"/>
    <n v="140068.22"/>
    <n v="140068.22"/>
    <x v="319"/>
    <x v="0"/>
    <x v="12"/>
    <n v="9"/>
    <x v="1"/>
    <s v="eb7e2e64-26c0-447e-bf8e-8bfaa0c9da72"/>
  </r>
  <r>
    <s v="Paula Bradley"/>
    <x v="3"/>
    <x v="7"/>
    <n v="32"/>
    <n v="240943.58"/>
    <n v="7710194.5599999996"/>
    <x v="320"/>
    <x v="0"/>
    <x v="9"/>
    <n v="20"/>
    <x v="3"/>
    <s v="714011a1-afc2-4cfc-9db7-284b6965d1d1"/>
  </r>
  <r>
    <s v="Anthony Moore"/>
    <x v="2"/>
    <x v="4"/>
    <n v="1"/>
    <n v="0"/>
    <n v="0"/>
    <x v="108"/>
    <x v="0"/>
    <x v="4"/>
    <n v="4"/>
    <x v="3"/>
    <s v="e5871d89-1631-4fc6-b79d-58f9dc268108"/>
  </r>
  <r>
    <s v="Megan Nelson"/>
    <x v="14"/>
    <x v="3"/>
    <n v="1"/>
    <n v="216862.87"/>
    <n v="216862.87"/>
    <x v="58"/>
    <x v="1"/>
    <x v="2"/>
    <n v="51"/>
    <x v="1"/>
    <s v="1f873b46-c0a0-473a-a3d7-e6a119b814fc"/>
  </r>
  <r>
    <s v="Karla Ramos"/>
    <x v="0"/>
    <x v="2"/>
    <n v="1"/>
    <n v="228607.88"/>
    <n v="228607.88"/>
    <x v="321"/>
    <x v="1"/>
    <x v="11"/>
    <n v="47"/>
    <x v="2"/>
    <s v="59fe3d53-624f-4a4b-bae1-e13796ee50e5"/>
  </r>
  <r>
    <s v="Paul Wilson"/>
    <x v="16"/>
    <x v="3"/>
    <n v="72"/>
    <n v="96409.87"/>
    <n v="6941510.6399999997"/>
    <x v="34"/>
    <x v="0"/>
    <x v="12"/>
    <n v="13"/>
    <x v="0"/>
    <s v="ca840003-5083-4fef-adec-6bbdf69777a1"/>
  </r>
  <r>
    <s v="Douglas Gregory"/>
    <x v="9"/>
    <x v="4"/>
    <n v="1"/>
    <n v="61336.68"/>
    <n v="61336.68"/>
    <x v="322"/>
    <x v="1"/>
    <x v="2"/>
    <n v="53"/>
    <x v="0"/>
    <s v="a505da9c-46e7-4a2c-bf6e-ed9d23cbe943"/>
  </r>
  <r>
    <s v="Mr. Andrew Foster"/>
    <x v="19"/>
    <x v="6"/>
    <n v="1"/>
    <n v="94220.14"/>
    <n v="94220.14"/>
    <x v="123"/>
    <x v="1"/>
    <x v="7"/>
    <n v="5"/>
    <x v="3"/>
    <s v="99db1302-8dab-46d3-bf87-dfc2159152f2"/>
  </r>
  <r>
    <s v="Unknown Customer"/>
    <x v="3"/>
    <x v="4"/>
    <n v="1"/>
    <n v="14191.78"/>
    <n v="14191.78"/>
    <x v="323"/>
    <x v="1"/>
    <x v="19"/>
    <n v="43"/>
    <x v="1"/>
    <s v="48f091f0-9b8b-48ae-b89f-3a92999a1d86"/>
  </r>
  <r>
    <s v="Aimee Turner"/>
    <x v="10"/>
    <x v="4"/>
    <n v="1"/>
    <n v="259293.41"/>
    <n v="259293.41"/>
    <x v="149"/>
    <x v="1"/>
    <x v="17"/>
    <n v="30"/>
    <x v="0"/>
    <s v="06ddf6ca-b0c3-4a59-b0f7-ad22c76a8e0f"/>
  </r>
  <r>
    <s v="Chad Scott"/>
    <x v="13"/>
    <x v="0"/>
    <n v="63"/>
    <n v="222505.09"/>
    <n v="14017820.67"/>
    <x v="324"/>
    <x v="2"/>
    <x v="16"/>
    <n v="49"/>
    <x v="2"/>
    <s v="e03635fc-a88d-4108-98d9-94b8d90f74e9"/>
  </r>
  <r>
    <s v="Adam Burgess"/>
    <x v="17"/>
    <x v="1"/>
    <n v="16"/>
    <n v="5357.86"/>
    <n v="85725.759999999995"/>
    <x v="325"/>
    <x v="1"/>
    <x v="14"/>
    <n v="3"/>
    <x v="3"/>
    <s v="9b5f8f39-848b-44f0-b498-17354d38e415"/>
  </r>
  <r>
    <s v="James Padilla"/>
    <x v="18"/>
    <x v="2"/>
    <n v="1"/>
    <n v="0"/>
    <n v="0"/>
    <x v="326"/>
    <x v="1"/>
    <x v="7"/>
    <n v="7"/>
    <x v="2"/>
    <s v="MIS-0422"/>
  </r>
  <r>
    <s v="Sandra Drake"/>
    <x v="3"/>
    <x v="7"/>
    <n v="1"/>
    <n v="166216.81"/>
    <n v="166216.81"/>
    <x v="234"/>
    <x v="1"/>
    <x v="6"/>
    <n v="38"/>
    <x v="3"/>
    <s v="6449cb6f-bf72-4e52-b04b-237082701238"/>
  </r>
  <r>
    <s v="Scott Williams"/>
    <x v="3"/>
    <x v="7"/>
    <n v="57"/>
    <n v="175417.55"/>
    <n v="9998800.3499999996"/>
    <x v="142"/>
    <x v="1"/>
    <x v="7"/>
    <n v="9"/>
    <x v="2"/>
    <s v="c8a738ab-0df8-4e12-a56b-61e04ba8a4ca"/>
  </r>
  <r>
    <s v="Thomas Atkins"/>
    <x v="1"/>
    <x v="5"/>
    <n v="1"/>
    <n v="216143.58"/>
    <n v="216143.58"/>
    <x v="21"/>
    <x v="1"/>
    <x v="14"/>
    <n v="1"/>
    <x v="3"/>
    <s v="3d4574eb-f465-4a21-8b35-097ae5dd98f1"/>
  </r>
  <r>
    <s v="Laura Mckinney"/>
    <x v="10"/>
    <x v="7"/>
    <n v="1"/>
    <n v="88910.09"/>
    <n v="88910.09"/>
    <x v="142"/>
    <x v="1"/>
    <x v="7"/>
    <n v="9"/>
    <x v="1"/>
    <s v="3db788a6-1cdc-44c2-a2c9-65b27eb0f62a"/>
  </r>
  <r>
    <s v="Brian Smith"/>
    <x v="16"/>
    <x v="2"/>
    <n v="91"/>
    <n v="59259.44"/>
    <n v="5392609.04"/>
    <x v="121"/>
    <x v="0"/>
    <x v="22"/>
    <n v="9"/>
    <x v="1"/>
    <s v="122dd7be-980b-481e-a359-5d1f7fe4a42e"/>
  </r>
  <r>
    <s v="Robert Montgomery"/>
    <x v="15"/>
    <x v="5"/>
    <n v="1"/>
    <n v="69390.58"/>
    <n v="69390.58"/>
    <x v="134"/>
    <x v="1"/>
    <x v="7"/>
    <n v="8"/>
    <x v="1"/>
    <s v="0316d2d6-fa4a-48ef-a383-7348873dc8bd"/>
  </r>
  <r>
    <s v="Tamara Davis"/>
    <x v="2"/>
    <x v="5"/>
    <n v="1"/>
    <n v="171151.96"/>
    <n v="171151.96"/>
    <x v="327"/>
    <x v="0"/>
    <x v="4"/>
    <n v="2"/>
    <x v="1"/>
    <s v="51045a16-ef15-4b72-9c70-ee97fca45567"/>
  </r>
  <r>
    <s v="Dana Chapman"/>
    <x v="6"/>
    <x v="6"/>
    <n v="1"/>
    <n v="74096.14"/>
    <n v="74096.14"/>
    <x v="328"/>
    <x v="2"/>
    <x v="16"/>
    <n v="51"/>
    <x v="2"/>
    <s v="d6c6f45c-dc5e-4e78-a307-d4d121c9a15d"/>
  </r>
  <r>
    <s v="Unknown Customer"/>
    <x v="2"/>
    <x v="1"/>
    <n v="1"/>
    <n v="165417.44"/>
    <n v="165417.44"/>
    <x v="299"/>
    <x v="1"/>
    <x v="2"/>
    <n v="52"/>
    <x v="2"/>
    <s v="8bde005b-5d8b-4bd7-abbd-b66f91816091"/>
  </r>
  <r>
    <s v="Jennifer Collins"/>
    <x v="17"/>
    <x v="3"/>
    <n v="82"/>
    <n v="0"/>
    <n v="0"/>
    <x v="327"/>
    <x v="0"/>
    <x v="4"/>
    <n v="2"/>
    <x v="2"/>
    <s v="78946a15-c342-41db-ac3a-acdcaed54a46"/>
  </r>
  <r>
    <s v="Gary Jackson"/>
    <x v="11"/>
    <x v="6"/>
    <n v="1"/>
    <n v="283067.63"/>
    <n v="283067.63"/>
    <x v="329"/>
    <x v="1"/>
    <x v="17"/>
    <n v="30"/>
    <x v="2"/>
    <s v="12af97e4-c536-466e-bcc4-091bf45707c6"/>
  </r>
  <r>
    <s v="Ashley Hicks"/>
    <x v="16"/>
    <x v="1"/>
    <n v="29"/>
    <n v="101600.5"/>
    <n v="2946414.5"/>
    <x v="54"/>
    <x v="1"/>
    <x v="1"/>
    <n v="11"/>
    <x v="3"/>
    <s v="0387f74d-1149-4096-965d-744f0445c1a8"/>
  </r>
  <r>
    <s v="Hannah Luna"/>
    <x v="5"/>
    <x v="1"/>
    <n v="26"/>
    <n v="229126.51"/>
    <n v="5957289.2599999998"/>
    <x v="330"/>
    <x v="1"/>
    <x v="17"/>
    <n v="29"/>
    <x v="1"/>
    <s v="ec2e2815-0a32-47d2-b73a-edf8431e930f"/>
  </r>
  <r>
    <s v="Robin Young"/>
    <x v="15"/>
    <x v="1"/>
    <n v="1"/>
    <n v="146842.01999999999"/>
    <n v="146842.01999999999"/>
    <x v="331"/>
    <x v="1"/>
    <x v="3"/>
    <n v="14"/>
    <x v="0"/>
    <s v="MIS-0436"/>
  </r>
  <r>
    <s v="Craig Morrison"/>
    <x v="1"/>
    <x v="4"/>
    <n v="1"/>
    <n v="217205.6"/>
    <n v="217205.6"/>
    <x v="308"/>
    <x v="1"/>
    <x v="6"/>
    <n v="38"/>
    <x v="0"/>
    <s v="65e1b0f5-ca0e-48c4-b2dc-b12b0f7ae302"/>
  </r>
  <r>
    <s v="Mary Thompson"/>
    <x v="0"/>
    <x v="6"/>
    <n v="1"/>
    <n v="222008.43"/>
    <n v="222008.43"/>
    <x v="182"/>
    <x v="0"/>
    <x v="24"/>
    <n v="27"/>
    <x v="0"/>
    <s v="b66edbf4-a0ea-4251-8957-43a281b13b80"/>
  </r>
  <r>
    <s v="Kathleen Webster"/>
    <x v="2"/>
    <x v="3"/>
    <n v="1"/>
    <n v="138518.29"/>
    <n v="138518.29"/>
    <x v="182"/>
    <x v="0"/>
    <x v="24"/>
    <n v="27"/>
    <x v="3"/>
    <s v="6c6f6d2e-6a59-4043-8461-52348044beb2"/>
  </r>
  <r>
    <s v="Joann Glass"/>
    <x v="14"/>
    <x v="0"/>
    <n v="71"/>
    <n v="219965.28"/>
    <n v="15617534.880000001"/>
    <x v="232"/>
    <x v="0"/>
    <x v="12"/>
    <n v="12"/>
    <x v="0"/>
    <s v="a3fa4069-1519-4d38-a6fb-a71db3a9dcaa"/>
  </r>
  <r>
    <s v="Madison Weber"/>
    <x v="7"/>
    <x v="1"/>
    <n v="79"/>
    <n v="105976.76"/>
    <n v="8372164.04"/>
    <x v="184"/>
    <x v="0"/>
    <x v="4"/>
    <n v="4"/>
    <x v="0"/>
    <s v="271610c1-9db5-4283-89a3-c811895c4fde"/>
  </r>
  <r>
    <s v="Lori Hernandez"/>
    <x v="2"/>
    <x v="3"/>
    <n v="1"/>
    <n v="0"/>
    <n v="0"/>
    <x v="332"/>
    <x v="1"/>
    <x v="7"/>
    <n v="6"/>
    <x v="2"/>
    <s v="143ac1c5-4f56-4ed5-9566-9e364708203b"/>
  </r>
  <r>
    <s v="Jeremy Turner"/>
    <x v="9"/>
    <x v="0"/>
    <n v="1"/>
    <n v="42417.58"/>
    <n v="42417.58"/>
    <x v="333"/>
    <x v="1"/>
    <x v="7"/>
    <n v="8"/>
    <x v="3"/>
    <s v="f96c9a0a-3404-402a-abc1-bb5282e4dd4a"/>
  </r>
  <r>
    <s v="Unknown Customer"/>
    <x v="0"/>
    <x v="2"/>
    <n v="1"/>
    <n v="164190.63"/>
    <n v="164190.63"/>
    <x v="22"/>
    <x v="2"/>
    <x v="15"/>
    <n v="41"/>
    <x v="3"/>
    <s v="53a5e850-8950-4dd6-a7c6-cbb1cedd069d"/>
  </r>
  <r>
    <s v="Anthony Romero"/>
    <x v="12"/>
    <x v="0"/>
    <n v="1"/>
    <n v="55622.31"/>
    <n v="55622.31"/>
    <x v="334"/>
    <x v="1"/>
    <x v="6"/>
    <n v="39"/>
    <x v="0"/>
    <s v="c362a810-a261-4b8d-9620-bee66406face"/>
  </r>
  <r>
    <s v="Jesse Brown"/>
    <x v="8"/>
    <x v="2"/>
    <n v="1"/>
    <n v="266864.68"/>
    <n v="266864.68"/>
    <x v="335"/>
    <x v="1"/>
    <x v="2"/>
    <n v="51"/>
    <x v="3"/>
    <s v="a4a5c736-ae59-4a52-a65b-e22bd5a386d9"/>
  </r>
  <r>
    <s v="Angela Lin"/>
    <x v="17"/>
    <x v="7"/>
    <n v="74"/>
    <n v="297101.90000000002"/>
    <n v="21985540.600000001"/>
    <x v="7"/>
    <x v="1"/>
    <x v="6"/>
    <n v="36"/>
    <x v="2"/>
    <s v="6fff15cc-b2dc-4c34-8f67-448e10eceb1f"/>
  </r>
  <r>
    <s v="Lisa Hunter"/>
    <x v="15"/>
    <x v="0"/>
    <n v="1"/>
    <n v="287192.45"/>
    <n v="287192.45"/>
    <x v="336"/>
    <x v="1"/>
    <x v="3"/>
    <n v="18"/>
    <x v="2"/>
    <s v="3d175712-d8b2-4277-b413-db19bade8d5d"/>
  </r>
  <r>
    <s v="Julian Conner"/>
    <x v="8"/>
    <x v="2"/>
    <n v="83"/>
    <n v="157421.35"/>
    <n v="13065972.050000001"/>
    <x v="88"/>
    <x v="0"/>
    <x v="8"/>
    <n v="23"/>
    <x v="1"/>
    <s v="ecb4678c-1612-4aa6-be96-39ba0ed2ec9d"/>
  </r>
  <r>
    <s v="Joanna Pacheco"/>
    <x v="12"/>
    <x v="1"/>
    <n v="1"/>
    <n v="251801.01"/>
    <n v="251801.01"/>
    <x v="337"/>
    <x v="1"/>
    <x v="21"/>
    <n v="20"/>
    <x v="2"/>
    <s v="MIS-0450"/>
  </r>
  <r>
    <s v="Erica Alvarez"/>
    <x v="11"/>
    <x v="4"/>
    <n v="1"/>
    <n v="22761.96"/>
    <n v="22761.96"/>
    <x v="338"/>
    <x v="0"/>
    <x v="0"/>
    <n v="15"/>
    <x v="1"/>
    <s v="9cbf7b8c-7410-4d5d-9db1-4bfc6f3a5115"/>
  </r>
  <r>
    <s v="Antonio Garcia"/>
    <x v="0"/>
    <x v="0"/>
    <n v="45"/>
    <n v="0"/>
    <n v="0"/>
    <x v="85"/>
    <x v="1"/>
    <x v="3"/>
    <n v="14"/>
    <x v="0"/>
    <s v="aa8430f8-4f2d-4233-8e16-5b129bdc70d1"/>
  </r>
  <r>
    <s v="Gwendolyn Klein"/>
    <x v="16"/>
    <x v="5"/>
    <n v="1"/>
    <n v="245489.78"/>
    <n v="245489.78"/>
    <x v="339"/>
    <x v="0"/>
    <x v="12"/>
    <n v="10"/>
    <x v="1"/>
    <s v="2cf72140-bd9b-4648-a876-1e85bddfa03a"/>
  </r>
  <r>
    <s v="Carrie Wright"/>
    <x v="7"/>
    <x v="2"/>
    <n v="1"/>
    <n v="15030.06"/>
    <n v="15030.06"/>
    <x v="34"/>
    <x v="0"/>
    <x v="12"/>
    <n v="13"/>
    <x v="1"/>
    <s v="23204ff5-b538-496c-833e-02f71e93d127"/>
  </r>
  <r>
    <s v="Jeffrey Mills"/>
    <x v="10"/>
    <x v="6"/>
    <n v="24"/>
    <n v="2411.96"/>
    <n v="57887.040000000001"/>
    <x v="340"/>
    <x v="2"/>
    <x v="10"/>
    <n v="44"/>
    <x v="0"/>
    <s v="7f14eafa-29f0-4f7c-82e7-df89b3957a98"/>
  </r>
  <r>
    <s v="Jake Campbell"/>
    <x v="2"/>
    <x v="2"/>
    <n v="1"/>
    <n v="41678.71"/>
    <n v="41678.71"/>
    <x v="8"/>
    <x v="1"/>
    <x v="7"/>
    <n v="8"/>
    <x v="1"/>
    <s v="8468b74d-85e3-4de5-98c1-aad6f3f8dea4"/>
  </r>
  <r>
    <s v="Unknown Customer"/>
    <x v="9"/>
    <x v="0"/>
    <n v="8"/>
    <n v="189395.14"/>
    <n v="1515161.12"/>
    <x v="341"/>
    <x v="2"/>
    <x v="5"/>
    <n v="32"/>
    <x v="2"/>
    <s v="425e0259-b884-46d2-928f-cf68c871d7b3"/>
  </r>
  <r>
    <s v="George Harper"/>
    <x v="8"/>
    <x v="2"/>
    <n v="67"/>
    <n v="20856.400000000001"/>
    <n v="1397378.8"/>
    <x v="333"/>
    <x v="1"/>
    <x v="7"/>
    <n v="8"/>
    <x v="0"/>
    <s v="bff15840-207e-463f-9f32-d5d82abe1585"/>
  </r>
  <r>
    <s v="Maria Jones"/>
    <x v="1"/>
    <x v="3"/>
    <n v="39"/>
    <n v="45733.38"/>
    <n v="1783601.8199999998"/>
    <x v="244"/>
    <x v="0"/>
    <x v="4"/>
    <n v="3"/>
    <x v="3"/>
    <s v="bba1aed9-44cd-4fdd-9f9b-141ec7f7bda1"/>
  </r>
  <r>
    <s v="Michael Mitchell"/>
    <x v="11"/>
    <x v="6"/>
    <n v="1"/>
    <n v="66006.539999999994"/>
    <n v="66006.539999999994"/>
    <x v="91"/>
    <x v="2"/>
    <x v="20"/>
    <n v="37"/>
    <x v="1"/>
    <s v="e65fad87-c57c-4498-9e38-f711e2ec13f4"/>
  </r>
  <r>
    <s v="Mary Escobar"/>
    <x v="5"/>
    <x v="0"/>
    <n v="91"/>
    <n v="137074.89000000001"/>
    <n v="12473814.990000002"/>
    <x v="3"/>
    <x v="1"/>
    <x v="3"/>
    <n v="14"/>
    <x v="2"/>
    <s v="6de8370a-ce9e-4ebd-95c3-48530783e43c"/>
  </r>
  <r>
    <s v="Felicia Aguilar"/>
    <x v="10"/>
    <x v="4"/>
    <n v="1"/>
    <n v="0"/>
    <n v="0"/>
    <x v="113"/>
    <x v="0"/>
    <x v="8"/>
    <n v="26"/>
    <x v="3"/>
    <s v="4350ab06-1059-4a28-861b-4f5b45a08539"/>
  </r>
  <r>
    <s v="Gregory Ponce"/>
    <x v="17"/>
    <x v="3"/>
    <n v="37"/>
    <n v="18604.810000000001"/>
    <n v="688377.97000000009"/>
    <x v="342"/>
    <x v="1"/>
    <x v="23"/>
    <n v="25"/>
    <x v="0"/>
    <s v="a0a5fde6-939f-41a2-b99c-ea5cb65ad0f1"/>
  </r>
  <r>
    <s v="Jenna Larson"/>
    <x v="8"/>
    <x v="6"/>
    <n v="33"/>
    <n v="191499.71"/>
    <n v="6319490.4299999997"/>
    <x v="276"/>
    <x v="1"/>
    <x v="2"/>
    <n v="49"/>
    <x v="0"/>
    <s v="MIS-0464"/>
  </r>
  <r>
    <s v="Emily Bennett"/>
    <x v="6"/>
    <x v="5"/>
    <n v="1"/>
    <n v="280204.15999999997"/>
    <n v="280204.15999999997"/>
    <x v="343"/>
    <x v="1"/>
    <x v="14"/>
    <n v="4"/>
    <x v="0"/>
    <s v="82c299f0-7487-4772-bf03-86fa13badc91"/>
  </r>
  <r>
    <s v="Robin Santiago"/>
    <x v="15"/>
    <x v="2"/>
    <n v="36"/>
    <n v="273869.06"/>
    <n v="9859286.1600000001"/>
    <x v="344"/>
    <x v="0"/>
    <x v="22"/>
    <n v="7"/>
    <x v="2"/>
    <s v="dbff00b0-7fe6-40f3-8e31-41ec5c311464"/>
  </r>
  <r>
    <s v="Nancy Jennings"/>
    <x v="12"/>
    <x v="2"/>
    <n v="1"/>
    <n v="197955.66"/>
    <n v="197955.66"/>
    <x v="330"/>
    <x v="1"/>
    <x v="17"/>
    <n v="29"/>
    <x v="3"/>
    <s v="28457780-5e20-4957-aab8-bd33911f730b"/>
  </r>
  <r>
    <s v="Maria Henderson"/>
    <x v="15"/>
    <x v="7"/>
    <n v="1"/>
    <n v="5211.66"/>
    <n v="5211.66"/>
    <x v="345"/>
    <x v="2"/>
    <x v="16"/>
    <n v="52"/>
    <x v="0"/>
    <s v="e4eec67c-1a57-49e4-85f8-e2f8414f4994"/>
  </r>
  <r>
    <s v="Jack White"/>
    <x v="0"/>
    <x v="6"/>
    <n v="1"/>
    <n v="159897.64000000001"/>
    <n v="159897.64000000001"/>
    <x v="23"/>
    <x v="2"/>
    <x v="16"/>
    <n v="50"/>
    <x v="2"/>
    <s v="1d8680cb-b908-40f3-ac93-281a92ebeab0"/>
  </r>
  <r>
    <s v="Unknown Customer"/>
    <x v="18"/>
    <x v="2"/>
    <n v="83"/>
    <n v="123695.88"/>
    <n v="10266758.040000001"/>
    <x v="63"/>
    <x v="0"/>
    <x v="0"/>
    <n v="16"/>
    <x v="2"/>
    <s v="00a85473-8242-4912-bda3-c1623a78b64a"/>
  </r>
  <r>
    <s v="Travis Tucker"/>
    <x v="11"/>
    <x v="7"/>
    <n v="1"/>
    <n v="5509.48"/>
    <n v="5509.48"/>
    <x v="346"/>
    <x v="1"/>
    <x v="6"/>
    <n v="36"/>
    <x v="2"/>
    <s v="03254fbd-dce8-41c5-9bd3-0aec0b461173"/>
  </r>
  <r>
    <s v="Chad Jones"/>
    <x v="18"/>
    <x v="7"/>
    <n v="20"/>
    <n v="0"/>
    <n v="0"/>
    <x v="347"/>
    <x v="1"/>
    <x v="7"/>
    <n v="6"/>
    <x v="2"/>
    <s v="5d2d904f-78c5-4073-8bc5-72073e9aec86"/>
  </r>
  <r>
    <s v="Ashley Wise"/>
    <x v="8"/>
    <x v="0"/>
    <n v="1"/>
    <n v="216796.72"/>
    <n v="216796.72"/>
    <x v="348"/>
    <x v="0"/>
    <x v="24"/>
    <n v="27"/>
    <x v="3"/>
    <s v="2dd0622e-266b-42ea-ab93-f78c620af158"/>
  </r>
  <r>
    <s v="Sophia Johnson"/>
    <x v="15"/>
    <x v="2"/>
    <n v="1"/>
    <n v="160953.56"/>
    <n v="160953.56"/>
    <x v="164"/>
    <x v="1"/>
    <x v="6"/>
    <n v="38"/>
    <x v="0"/>
    <s v="090d9655-db84-4660-b5d8-fb91ee6081ac"/>
  </r>
  <r>
    <s v="Ralph Anderson"/>
    <x v="16"/>
    <x v="3"/>
    <n v="1"/>
    <n v="86363.22"/>
    <n v="86363.22"/>
    <x v="349"/>
    <x v="0"/>
    <x v="4"/>
    <n v="1"/>
    <x v="0"/>
    <s v="b6ca1127-e9f8-4970-8d98-f9e28d888beb"/>
  </r>
  <r>
    <s v="Christopher Guerra"/>
    <x v="18"/>
    <x v="5"/>
    <n v="6"/>
    <n v="150913.70000000001"/>
    <n v="905482.20000000007"/>
    <x v="347"/>
    <x v="1"/>
    <x v="7"/>
    <n v="6"/>
    <x v="1"/>
    <s v="3979d5f5-6b5b-4975-a7dc-2bc0bd9c4693"/>
  </r>
  <r>
    <s v="Rhonda Martin"/>
    <x v="5"/>
    <x v="3"/>
    <n v="11"/>
    <n v="209508.79"/>
    <n v="2304596.69"/>
    <x v="243"/>
    <x v="2"/>
    <x v="15"/>
    <n v="43"/>
    <x v="0"/>
    <s v="ea75752d-6a8f-4acb-bf8e-2d0d52619dec"/>
  </r>
  <r>
    <s v="Jason Rhodes"/>
    <x v="4"/>
    <x v="3"/>
    <n v="1"/>
    <n v="129456.68"/>
    <n v="129456.68"/>
    <x v="350"/>
    <x v="2"/>
    <x v="15"/>
    <n v="40"/>
    <x v="3"/>
    <s v="MIS-0478"/>
  </r>
  <r>
    <s v="Jeremy Mitchell"/>
    <x v="10"/>
    <x v="2"/>
    <n v="1"/>
    <n v="281943.71999999997"/>
    <n v="281943.71999999997"/>
    <x v="255"/>
    <x v="1"/>
    <x v="19"/>
    <n v="44"/>
    <x v="2"/>
    <s v="d3748a11-4571-4959-91e7-44e4b864ca08"/>
  </r>
  <r>
    <s v="Joann Ferguson"/>
    <x v="8"/>
    <x v="1"/>
    <n v="1"/>
    <n v="54190.42"/>
    <n v="54190.42"/>
    <x v="351"/>
    <x v="0"/>
    <x v="22"/>
    <n v="6"/>
    <x v="3"/>
    <s v="1e910f36-5f70-4b25-9250-2e5913f06822"/>
  </r>
  <r>
    <s v="Robert Harrison"/>
    <x v="16"/>
    <x v="4"/>
    <n v="1"/>
    <n v="275455.63"/>
    <n v="275455.63"/>
    <x v="352"/>
    <x v="1"/>
    <x v="19"/>
    <n v="41"/>
    <x v="0"/>
    <s v="0d7bec04-e6e5-4b32-ac5f-12ef8085c147"/>
  </r>
  <r>
    <s v="Holly Valentine"/>
    <x v="14"/>
    <x v="7"/>
    <n v="82"/>
    <n v="0"/>
    <n v="0"/>
    <x v="353"/>
    <x v="1"/>
    <x v="14"/>
    <n v="2"/>
    <x v="2"/>
    <s v="8409c5ea-cde9-48b3-b922-a7e42de982f8"/>
  </r>
  <r>
    <s v="Unknown Customer"/>
    <x v="12"/>
    <x v="2"/>
    <n v="1"/>
    <n v="157553.43"/>
    <n v="157553.43"/>
    <x v="289"/>
    <x v="1"/>
    <x v="14"/>
    <n v="3"/>
    <x v="3"/>
    <s v="66a302d6-f43e-4c48-8bc1-f9e5fb3df063"/>
  </r>
  <r>
    <s v="Mrs. Diane Reyes"/>
    <x v="7"/>
    <x v="0"/>
    <n v="1"/>
    <n v="72670.17"/>
    <n v="72670.17"/>
    <x v="174"/>
    <x v="2"/>
    <x v="5"/>
    <n v="33"/>
    <x v="0"/>
    <s v="ddb449dc-7710-4966-a082-7f7611a529b4"/>
  </r>
  <r>
    <s v="Tracy Montoya"/>
    <x v="18"/>
    <x v="7"/>
    <n v="1"/>
    <n v="186124.36"/>
    <n v="186124.36"/>
    <x v="354"/>
    <x v="1"/>
    <x v="2"/>
    <n v="50"/>
    <x v="0"/>
    <s v="4f89e3b2-d847-4c53-8605-e58a48454343"/>
  </r>
  <r>
    <s v="Brenda Wright"/>
    <x v="16"/>
    <x v="5"/>
    <n v="62"/>
    <n v="76099.25"/>
    <n v="4718153.5"/>
    <x v="355"/>
    <x v="0"/>
    <x v="8"/>
    <n v="24"/>
    <x v="0"/>
    <s v="74ed5145-8d97-45c7-961d-5c8753c9fe59"/>
  </r>
  <r>
    <s v="Shelly Spencer"/>
    <x v="5"/>
    <x v="1"/>
    <n v="1"/>
    <n v="106655.11"/>
    <n v="106655.11"/>
    <x v="356"/>
    <x v="1"/>
    <x v="13"/>
    <n v="35"/>
    <x v="1"/>
    <s v="4aa5f9d3-335f-4f59-9e71-7fca020a4497"/>
  </r>
  <r>
    <s v="Ryan Rosales"/>
    <x v="1"/>
    <x v="4"/>
    <n v="1"/>
    <n v="238583.43"/>
    <n v="238583.43"/>
    <x v="84"/>
    <x v="1"/>
    <x v="14"/>
    <n v="1"/>
    <x v="1"/>
    <s v="bd54da04-4dcd-4009-88d5-77179055a36f"/>
  </r>
  <r>
    <s v="Phillip Nelson"/>
    <x v="18"/>
    <x v="2"/>
    <n v="1"/>
    <n v="24166.26"/>
    <n v="24166.26"/>
    <x v="16"/>
    <x v="1"/>
    <x v="11"/>
    <n v="47"/>
    <x v="1"/>
    <s v="5e472e22-76c3-4642-be19-fc1d9f6a6a65"/>
  </r>
  <r>
    <s v="Brittany Kim"/>
    <x v="18"/>
    <x v="5"/>
    <n v="8"/>
    <n v="287809.69"/>
    <n v="2302477.52"/>
    <x v="357"/>
    <x v="1"/>
    <x v="14"/>
    <n v="2"/>
    <x v="2"/>
    <s v="ff6ef9ed-7e4c-429f-b8cb-ab4c97790e84"/>
  </r>
  <r>
    <s v="Courtney Hayes"/>
    <x v="10"/>
    <x v="6"/>
    <n v="1"/>
    <n v="137969.82"/>
    <n v="137969.82"/>
    <x v="358"/>
    <x v="2"/>
    <x v="5"/>
    <n v="34"/>
    <x v="3"/>
    <s v="bb82b796-3207-443e-86a0-7656c5c9fb91"/>
  </r>
  <r>
    <s v="Alexander Brown"/>
    <x v="8"/>
    <x v="1"/>
    <n v="1"/>
    <n v="0"/>
    <n v="0"/>
    <x v="359"/>
    <x v="2"/>
    <x v="20"/>
    <n v="39"/>
    <x v="2"/>
    <s v="MIS-0492"/>
  </r>
  <r>
    <s v="Cynthia Vang"/>
    <x v="7"/>
    <x v="3"/>
    <n v="1"/>
    <n v="73340.759999999995"/>
    <n v="73340.759999999995"/>
    <x v="360"/>
    <x v="1"/>
    <x v="21"/>
    <n v="22"/>
    <x v="2"/>
    <s v="cbc4ec0e-c2ae-4674-8beb-4e78e68373a3"/>
  </r>
  <r>
    <s v="Alfred Galvan"/>
    <x v="12"/>
    <x v="1"/>
    <n v="78"/>
    <n v="209322.28"/>
    <n v="16327137.84"/>
    <x v="361"/>
    <x v="1"/>
    <x v="1"/>
    <n v="12"/>
    <x v="0"/>
    <s v="eeb19ad2-01a1-4b0f-a68b-84b63ec0a285"/>
  </r>
  <r>
    <s v="Marie Moody"/>
    <x v="15"/>
    <x v="5"/>
    <n v="1"/>
    <n v="90342.399999999994"/>
    <n v="90342.399999999994"/>
    <x v="157"/>
    <x v="0"/>
    <x v="4"/>
    <n v="3"/>
    <x v="2"/>
    <s v="8aa2b4c9-3ba5-4d76-861e-fb9568f82063"/>
  </r>
  <r>
    <s v="Unknown Customer"/>
    <x v="13"/>
    <x v="2"/>
    <n v="1"/>
    <n v="248504.59"/>
    <n v="248504.59"/>
    <x v="302"/>
    <x v="1"/>
    <x v="17"/>
    <n v="28"/>
    <x v="2"/>
    <s v="b186a5a8-d6ee-426b-a2cd-159058af393c"/>
  </r>
  <r>
    <s v="Dustin Gallegos"/>
    <x v="13"/>
    <x v="1"/>
    <n v="1"/>
    <n v="24644.77"/>
    <n v="24644.77"/>
    <x v="362"/>
    <x v="2"/>
    <x v="20"/>
    <n v="39"/>
    <x v="0"/>
    <s v="55c3b2db-f374-490d-8274-ce40e09016b6"/>
  </r>
  <r>
    <s v="Brenda Thornton"/>
    <x v="13"/>
    <x v="2"/>
    <n v="1"/>
    <n v="297506.57"/>
    <n v="297506.57"/>
    <x v="363"/>
    <x v="1"/>
    <x v="2"/>
    <n v="51"/>
    <x v="2"/>
    <s v="60538c1b-a845-40a1-8249-2e5e005fd0e6"/>
  </r>
  <r>
    <s v="Aaron Miller"/>
    <x v="10"/>
    <x v="0"/>
    <n v="1"/>
    <n v="195143.39"/>
    <n v="195143.39"/>
    <x v="121"/>
    <x v="0"/>
    <x v="22"/>
    <n v="9"/>
    <x v="2"/>
    <s v="4eb9047d-ba2a-43d9-bcf2-fc3bd95874c2"/>
  </r>
  <r>
    <s v="Ruben Dunn"/>
    <x v="11"/>
    <x v="2"/>
    <n v="1"/>
    <n v="9989.51"/>
    <n v="9989.51"/>
    <x v="243"/>
    <x v="2"/>
    <x v="15"/>
    <n v="43"/>
    <x v="3"/>
    <s v="fbad793f-87a1-4c02-b487-9e411a9c672a"/>
  </r>
  <r>
    <s v="Kelsey Rodriguez"/>
    <x v="19"/>
    <x v="5"/>
    <n v="1"/>
    <n v="121880.85"/>
    <n v="121880.85"/>
    <x v="364"/>
    <x v="2"/>
    <x v="18"/>
    <n v="28"/>
    <x v="1"/>
    <s v="f610396b-7df5-4abf-ab79-0d013cf88d20"/>
  </r>
  <r>
    <s v="Eric Williams"/>
    <x v="14"/>
    <x v="4"/>
    <n v="1"/>
    <n v="0"/>
    <n v="0"/>
    <x v="6"/>
    <x v="1"/>
    <x v="6"/>
    <n v="37"/>
    <x v="2"/>
    <s v="247296a4-ff38-4918-b8f9-a45d0f554896"/>
  </r>
  <r>
    <s v="Riley Bryant"/>
    <x v="6"/>
    <x v="0"/>
    <n v="58"/>
    <n v="113462.29"/>
    <n v="6580812.8199999994"/>
    <x v="365"/>
    <x v="0"/>
    <x v="24"/>
    <n v="27"/>
    <x v="2"/>
    <s v="0b3d0c36-17d0-4810-87a2-a10bb62edb49"/>
  </r>
  <r>
    <s v="Taylor Carlson"/>
    <x v="18"/>
    <x v="4"/>
    <n v="19"/>
    <n v="143063.53"/>
    <n v="2718207.07"/>
    <x v="12"/>
    <x v="2"/>
    <x v="10"/>
    <n v="45"/>
    <x v="3"/>
    <s v="d872f72e-e5b4-41ae-bb41-c943ebd8a3b1"/>
  </r>
  <r>
    <s v="Jose Allen"/>
    <x v="11"/>
    <x v="1"/>
    <n v="1"/>
    <n v="191206.05"/>
    <n v="191206.05"/>
    <x v="366"/>
    <x v="1"/>
    <x v="21"/>
    <n v="21"/>
    <x v="2"/>
    <s v="e5449887-b36a-43ed-a9be-173a850ef0ad"/>
  </r>
  <r>
    <s v="Jeffrey Mendez"/>
    <x v="12"/>
    <x v="3"/>
    <n v="1"/>
    <n v="211002.12"/>
    <n v="211002.12"/>
    <x v="367"/>
    <x v="1"/>
    <x v="11"/>
    <n v="48"/>
    <x v="3"/>
    <s v="MIS-0506"/>
  </r>
  <r>
    <s v="Jason Beck"/>
    <x v="15"/>
    <x v="6"/>
    <n v="54"/>
    <n v="25264.49"/>
    <n v="1364282.4600000002"/>
    <x v="82"/>
    <x v="0"/>
    <x v="24"/>
    <n v="28"/>
    <x v="2"/>
    <s v="bf7655d7-f97c-4c3c-b55d-814b5f5ba255"/>
  </r>
  <r>
    <s v="William Jones"/>
    <x v="6"/>
    <x v="5"/>
    <n v="1"/>
    <n v="253676.27"/>
    <n v="253676.27"/>
    <x v="368"/>
    <x v="0"/>
    <x v="9"/>
    <n v="22"/>
    <x v="0"/>
    <s v="8163b6ce-1877-4c06-94ad-625215bc2a3e"/>
  </r>
  <r>
    <s v="Unknown Customer"/>
    <x v="3"/>
    <x v="4"/>
    <n v="1"/>
    <n v="193649.72"/>
    <n v="193649.72"/>
    <x v="189"/>
    <x v="0"/>
    <x v="9"/>
    <n v="21"/>
    <x v="0"/>
    <s v="64f434d6-d1e9-4691-a320-9116222df6a4"/>
  </r>
  <r>
    <s v="Katie Mcneil"/>
    <x v="18"/>
    <x v="6"/>
    <n v="41"/>
    <n v="99715.55"/>
    <n v="4088337.5500000003"/>
    <x v="369"/>
    <x v="1"/>
    <x v="17"/>
    <n v="29"/>
    <x v="2"/>
    <s v="0ff1c51f-915c-431b-9786-7b1213281726"/>
  </r>
  <r>
    <s v="Jeanette Harrison"/>
    <x v="3"/>
    <x v="7"/>
    <n v="98"/>
    <n v="293210.09999999998"/>
    <n v="28734589.799999997"/>
    <x v="370"/>
    <x v="1"/>
    <x v="17"/>
    <n v="29"/>
    <x v="0"/>
    <s v="21761930-f6d7-4248-a995-ecc36f5b09a6"/>
  </r>
  <r>
    <s v="Veronica King"/>
    <x v="10"/>
    <x v="2"/>
    <n v="1"/>
    <n v="0"/>
    <n v="0"/>
    <x v="124"/>
    <x v="1"/>
    <x v="11"/>
    <n v="48"/>
    <x v="2"/>
    <s v="d9d57b02-42d0-4d55-8aab-47b23c9d128a"/>
  </r>
  <r>
    <s v="Richard Cooper"/>
    <x v="4"/>
    <x v="4"/>
    <n v="1"/>
    <n v="292165"/>
    <n v="292165"/>
    <x v="239"/>
    <x v="2"/>
    <x v="16"/>
    <n v="50"/>
    <x v="3"/>
    <s v="64988bde-cd02-44db-ad11-15d750a46c85"/>
  </r>
  <r>
    <s v="Lori Ingram"/>
    <x v="1"/>
    <x v="0"/>
    <n v="1"/>
    <n v="268489.96999999997"/>
    <n v="268489.96999999997"/>
    <x v="371"/>
    <x v="0"/>
    <x v="22"/>
    <n v="8"/>
    <x v="1"/>
    <s v="53853918-bc40-45fa-94f7-6322b362c0d2"/>
  </r>
  <r>
    <s v="Evelyn Williams"/>
    <x v="9"/>
    <x v="5"/>
    <n v="3"/>
    <n v="275786.09000000003"/>
    <n v="827358.27"/>
    <x v="333"/>
    <x v="1"/>
    <x v="7"/>
    <n v="8"/>
    <x v="3"/>
    <s v="3bcdf203-459e-4674-b3e7-f042516c3b0a"/>
  </r>
  <r>
    <s v="Robin Thompson"/>
    <x v="3"/>
    <x v="2"/>
    <n v="1"/>
    <n v="69315.070000000007"/>
    <n v="69315.070000000007"/>
    <x v="372"/>
    <x v="1"/>
    <x v="1"/>
    <n v="11"/>
    <x v="1"/>
    <s v="22d839d3-33e4-4986-b18c-ccdc131eb723"/>
  </r>
  <r>
    <s v="Julie Dominguez"/>
    <x v="19"/>
    <x v="6"/>
    <n v="59"/>
    <n v="270431.25"/>
    <n v="15955443.75"/>
    <x v="208"/>
    <x v="1"/>
    <x v="7"/>
    <n v="7"/>
    <x v="2"/>
    <s v="1be5a4c3-95af-4d0c-8528-5425c7a9f33c"/>
  </r>
  <r>
    <s v="Robin Brown"/>
    <x v="12"/>
    <x v="5"/>
    <n v="1"/>
    <n v="207840.17"/>
    <n v="207840.17"/>
    <x v="373"/>
    <x v="1"/>
    <x v="11"/>
    <n v="47"/>
    <x v="2"/>
    <s v="7316ce64-2a14-4a96-9b0c-62eb27c8fc6c"/>
  </r>
  <r>
    <s v="Judith Carter"/>
    <x v="6"/>
    <x v="4"/>
    <n v="46"/>
    <n v="170251.85"/>
    <n v="7831585.1000000006"/>
    <x v="374"/>
    <x v="2"/>
    <x v="5"/>
    <n v="34"/>
    <x v="1"/>
    <s v="1ee89a4c-6811-44e2-9064-7c59774f6354"/>
  </r>
  <r>
    <s v="Curtis Williams"/>
    <x v="13"/>
    <x v="3"/>
    <n v="1"/>
    <n v="81692.97"/>
    <n v="81692.97"/>
    <x v="375"/>
    <x v="0"/>
    <x v="8"/>
    <n v="25"/>
    <x v="0"/>
    <s v="MIS-0520"/>
  </r>
  <r>
    <s v="Kaylee Hays"/>
    <x v="8"/>
    <x v="0"/>
    <n v="1"/>
    <n v="277285.7"/>
    <n v="277285.7"/>
    <x v="48"/>
    <x v="0"/>
    <x v="22"/>
    <n v="9"/>
    <x v="2"/>
    <s v="c534ca08-f6f2-4d1c-9bb8-b9c8893259f3"/>
  </r>
  <r>
    <s v="Unknown Customer"/>
    <x v="7"/>
    <x v="7"/>
    <n v="1"/>
    <n v="0"/>
    <n v="0"/>
    <x v="192"/>
    <x v="2"/>
    <x v="20"/>
    <n v="38"/>
    <x v="2"/>
    <s v="769de1e3-4eed-4124-b3b0-d6763527a5c8"/>
  </r>
  <r>
    <s v="Dawn Mullins"/>
    <x v="10"/>
    <x v="5"/>
    <n v="1"/>
    <n v="205486.41"/>
    <n v="205486.41"/>
    <x v="376"/>
    <x v="1"/>
    <x v="11"/>
    <n v="48"/>
    <x v="2"/>
    <s v="1725d2c7-1eb2-47b8-9a3c-45ca43d78f2b"/>
  </r>
  <r>
    <s v="Howard Norman"/>
    <x v="16"/>
    <x v="3"/>
    <n v="69"/>
    <n v="84471.72"/>
    <n v="5828548.6799999997"/>
    <x v="334"/>
    <x v="1"/>
    <x v="6"/>
    <n v="39"/>
    <x v="2"/>
    <s v="4de1087b-afa1-4a55-8ebe-abaa28597b34"/>
  </r>
  <r>
    <s v="Evelyn Martinez"/>
    <x v="19"/>
    <x v="4"/>
    <n v="1"/>
    <n v="163137.69"/>
    <n v="163137.69"/>
    <x v="357"/>
    <x v="1"/>
    <x v="14"/>
    <n v="2"/>
    <x v="2"/>
    <s v="9a72083c-b266-486c-b467-88bdd38e13e4"/>
  </r>
  <r>
    <s v="Steve Paul"/>
    <x v="16"/>
    <x v="0"/>
    <n v="1"/>
    <n v="197603.72"/>
    <n v="197603.72"/>
    <x v="377"/>
    <x v="1"/>
    <x v="13"/>
    <n v="35"/>
    <x v="1"/>
    <s v="db4862c2-d5ff-4a1f-b70b-9a290a530df9"/>
  </r>
  <r>
    <s v="Jasmine Beltran"/>
    <x v="3"/>
    <x v="2"/>
    <n v="1"/>
    <n v="54216.67"/>
    <n v="54216.67"/>
    <x v="378"/>
    <x v="0"/>
    <x v="22"/>
    <n v="6"/>
    <x v="0"/>
    <s v="b60e695c-1759-4a96-a5f8-8c7453ea4919"/>
  </r>
  <r>
    <s v="Jonathan Glass Md"/>
    <x v="4"/>
    <x v="6"/>
    <n v="1"/>
    <n v="255203.07"/>
    <n v="255203.07"/>
    <x v="379"/>
    <x v="0"/>
    <x v="4"/>
    <n v="4"/>
    <x v="1"/>
    <s v="657046ea-5b11-451f-b7e9-101d3f8b4433"/>
  </r>
  <r>
    <s v="Monica Miller"/>
    <x v="1"/>
    <x v="4"/>
    <n v="47"/>
    <n v="5189.6000000000004"/>
    <n v="243911.2"/>
    <x v="380"/>
    <x v="0"/>
    <x v="9"/>
    <n v="18"/>
    <x v="2"/>
    <s v="4c80d33a-ad5b-43c8-8c88-0714837217e0"/>
  </r>
  <r>
    <s v="Samantha Gardner"/>
    <x v="0"/>
    <x v="1"/>
    <n v="52"/>
    <n v="62543.86"/>
    <n v="3252280.72"/>
    <x v="381"/>
    <x v="0"/>
    <x v="24"/>
    <n v="28"/>
    <x v="2"/>
    <s v="2c82989f-fd9c-4bb0-91f1-6485429a4a7c"/>
  </r>
  <r>
    <s v="Bobby Guerrero"/>
    <x v="8"/>
    <x v="7"/>
    <n v="1"/>
    <n v="43685.37"/>
    <n v="43685.37"/>
    <x v="382"/>
    <x v="2"/>
    <x v="5"/>
    <n v="32"/>
    <x v="2"/>
    <s v="dac726b6-6786-4fb3-b3bc-9a7107f4fee5"/>
  </r>
  <r>
    <s v="Lance Simmons"/>
    <x v="3"/>
    <x v="7"/>
    <n v="1"/>
    <n v="0"/>
    <n v="0"/>
    <x v="383"/>
    <x v="0"/>
    <x v="8"/>
    <n v="25"/>
    <x v="2"/>
    <s v="8cd4b90a-bf82-41bc-8e52-fc4273c374a6"/>
  </r>
  <r>
    <s v="Heather Williams"/>
    <x v="14"/>
    <x v="2"/>
    <n v="1"/>
    <n v="246296.88"/>
    <n v="246296.88"/>
    <x v="384"/>
    <x v="0"/>
    <x v="8"/>
    <n v="26"/>
    <x v="2"/>
    <s v="1a16998c-7648-476e-983f-ea703ff6579e"/>
  </r>
  <r>
    <s v="Heather Bolton"/>
    <x v="11"/>
    <x v="0"/>
    <n v="1"/>
    <n v="246360.27"/>
    <n v="246360.27"/>
    <x v="17"/>
    <x v="2"/>
    <x v="10"/>
    <n v="47"/>
    <x v="3"/>
    <s v="MIS-0534"/>
  </r>
  <r>
    <s v="Unknown Customer"/>
    <x v="13"/>
    <x v="4"/>
    <n v="1"/>
    <n v="278698.03999999998"/>
    <n v="278698.03999999998"/>
    <x v="177"/>
    <x v="1"/>
    <x v="21"/>
    <n v="22"/>
    <x v="1"/>
    <s v="1f178f93-23c9-4a1e-8b37-1d97cdcc2d6a"/>
  </r>
  <r>
    <s v="William Gould"/>
    <x v="9"/>
    <x v="4"/>
    <n v="1"/>
    <n v="90133.43"/>
    <n v="90133.43"/>
    <x v="204"/>
    <x v="0"/>
    <x v="9"/>
    <n v="22"/>
    <x v="0"/>
    <s v="c7ecfe71-d493-47fc-8fc9-8d2e030f9be9"/>
  </r>
  <r>
    <s v="Mark Cox"/>
    <x v="5"/>
    <x v="3"/>
    <n v="1"/>
    <n v="169405.48"/>
    <n v="169405.48"/>
    <x v="385"/>
    <x v="0"/>
    <x v="0"/>
    <n v="17"/>
    <x v="2"/>
    <s v="32b8d8aa-2176-4dd7-b8e7-e019fb8986c8"/>
  </r>
  <r>
    <s v="Meghan Cisneros"/>
    <x v="3"/>
    <x v="1"/>
    <n v="1"/>
    <n v="170225.43"/>
    <n v="170225.43"/>
    <x v="386"/>
    <x v="2"/>
    <x v="10"/>
    <n v="47"/>
    <x v="3"/>
    <s v="afb06406-5f4b-4a97-a68c-879bd2dc42c8"/>
  </r>
  <r>
    <s v="Lawrence Harrington"/>
    <x v="0"/>
    <x v="6"/>
    <n v="16"/>
    <n v="254908.01"/>
    <n v="4078528.16"/>
    <x v="182"/>
    <x v="0"/>
    <x v="24"/>
    <n v="27"/>
    <x v="3"/>
    <s v="15839b99-a50a-43dc-b004-e897a15b2e18"/>
  </r>
  <r>
    <s v="Austin Osborne"/>
    <x v="13"/>
    <x v="0"/>
    <n v="1"/>
    <n v="203271.97"/>
    <n v="203271.97"/>
    <x v="301"/>
    <x v="0"/>
    <x v="8"/>
    <n v="26"/>
    <x v="0"/>
    <s v="eadc9960-4242-41e2-960b-e0f495132c22"/>
  </r>
  <r>
    <s v="James Bradley"/>
    <x v="4"/>
    <x v="5"/>
    <n v="1"/>
    <n v="162398.45000000001"/>
    <n v="162398.45000000001"/>
    <x v="382"/>
    <x v="2"/>
    <x v="5"/>
    <n v="32"/>
    <x v="2"/>
    <s v="ff45f8a2-0594-424f-9332-5c31d010318a"/>
  </r>
  <r>
    <s v="Meghan Rush"/>
    <x v="13"/>
    <x v="6"/>
    <n v="1"/>
    <n v="0"/>
    <n v="0"/>
    <x v="387"/>
    <x v="0"/>
    <x v="0"/>
    <n v="17"/>
    <x v="3"/>
    <s v="a55f65b7-e709-4ba6-b29f-c41710813d45"/>
  </r>
  <r>
    <s v="Phillip Berry"/>
    <x v="11"/>
    <x v="1"/>
    <n v="97"/>
    <n v="115461.94"/>
    <n v="11199808.18"/>
    <x v="388"/>
    <x v="1"/>
    <x v="21"/>
    <n v="20"/>
    <x v="2"/>
    <s v="178be968-20f8-4ba2-8f2e-32967184b713"/>
  </r>
  <r>
    <s v="Jennifer Banks"/>
    <x v="5"/>
    <x v="6"/>
    <n v="1"/>
    <n v="222053.68"/>
    <n v="222053.68"/>
    <x v="389"/>
    <x v="0"/>
    <x v="12"/>
    <n v="11"/>
    <x v="0"/>
    <s v="cf133b65-d450-4fa2-98e7-0aebe7b33085"/>
  </r>
  <r>
    <s v="Brian Fitzgerald"/>
    <x v="12"/>
    <x v="4"/>
    <n v="1"/>
    <n v="237254.18"/>
    <n v="237254.18"/>
    <x v="202"/>
    <x v="1"/>
    <x v="17"/>
    <n v="31"/>
    <x v="2"/>
    <s v="f1394e3c-0aee-4557-9f5d-f91254e07431"/>
  </r>
  <r>
    <s v="Mr. Justin Green Iii"/>
    <x v="15"/>
    <x v="0"/>
    <n v="65"/>
    <n v="206948.51"/>
    <n v="13451653.15"/>
    <x v="390"/>
    <x v="2"/>
    <x v="16"/>
    <n v="48"/>
    <x v="0"/>
    <s v="ec93e596-2b01-4723-8cf6-97a57603c36c"/>
  </r>
  <r>
    <s v="Zachary Mitchell"/>
    <x v="13"/>
    <x v="6"/>
    <n v="6"/>
    <n v="23989.09"/>
    <n v="143934.54"/>
    <x v="381"/>
    <x v="0"/>
    <x v="24"/>
    <n v="28"/>
    <x v="1"/>
    <s v="b9744cde-d259-4960-aee3-560792ea1324"/>
  </r>
  <r>
    <s v="Unknown Customer"/>
    <x v="12"/>
    <x v="2"/>
    <n v="1"/>
    <n v="223764.24"/>
    <n v="223764.24"/>
    <x v="391"/>
    <x v="0"/>
    <x v="22"/>
    <n v="7"/>
    <x v="1"/>
    <s v="MIS-0548"/>
  </r>
  <r>
    <s v="Katherine Martinez"/>
    <x v="11"/>
    <x v="7"/>
    <n v="1"/>
    <n v="104084.92"/>
    <n v="104084.92"/>
    <x v="272"/>
    <x v="0"/>
    <x v="9"/>
    <n v="21"/>
    <x v="2"/>
    <s v="61fa8e7a-078c-46ce-bf02-23bc651ea252"/>
  </r>
  <r>
    <s v="Jodi Roach"/>
    <x v="8"/>
    <x v="5"/>
    <n v="1"/>
    <n v="29756.89"/>
    <n v="29756.89"/>
    <x v="392"/>
    <x v="0"/>
    <x v="8"/>
    <n v="27"/>
    <x v="3"/>
    <s v="5a9c0679-2c3d-47e2-ad39-da75aee70ab2"/>
  </r>
  <r>
    <s v="Brandon Fleming"/>
    <x v="5"/>
    <x v="3"/>
    <n v="1"/>
    <n v="70027.13"/>
    <n v="70027.13"/>
    <x v="134"/>
    <x v="1"/>
    <x v="7"/>
    <n v="8"/>
    <x v="2"/>
    <s v="46653497-2fe9-42aa-a886-a01136f7a26c"/>
  </r>
  <r>
    <m/>
    <x v="20"/>
    <x v="8"/>
    <m/>
    <m/>
    <m/>
    <x v="393"/>
    <x v="3"/>
    <x v="25"/>
    <m/>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026E1A-ED68-4558-B513-39AEC0BA2E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3:D7" firstHeaderRow="0" firstDataRow="1" firstDataCol="1"/>
  <pivotFields count="15">
    <pivotField showAll="0"/>
    <pivotField showAll="0"/>
    <pivotField showAll="0"/>
    <pivotField dataField="1" showAll="0"/>
    <pivotField showAll="0"/>
    <pivotField dataField="1" showAll="0"/>
    <pivotField axis="axisRow" showAll="0">
      <items count="395">
        <item x="364"/>
        <item x="210"/>
        <item x="264"/>
        <item x="293"/>
        <item x="191"/>
        <item x="29"/>
        <item x="118"/>
        <item x="129"/>
        <item x="290"/>
        <item x="382"/>
        <item x="242"/>
        <item x="115"/>
        <item x="341"/>
        <item x="120"/>
        <item x="200"/>
        <item x="174"/>
        <item x="358"/>
        <item x="73"/>
        <item x="374"/>
        <item x="146"/>
        <item x="305"/>
        <item x="5"/>
        <item x="40"/>
        <item x="144"/>
        <item x="52"/>
        <item x="91"/>
        <item x="119"/>
        <item x="39"/>
        <item x="192"/>
        <item x="100"/>
        <item x="173"/>
        <item x="359"/>
        <item x="362"/>
        <item x="165"/>
        <item x="212"/>
        <item x="350"/>
        <item x="267"/>
        <item x="230"/>
        <item x="22"/>
        <item x="169"/>
        <item x="75"/>
        <item x="53"/>
        <item x="61"/>
        <item x="36"/>
        <item x="160"/>
        <item x="214"/>
        <item x="243"/>
        <item x="25"/>
        <item x="251"/>
        <item x="172"/>
        <item x="154"/>
        <item x="238"/>
        <item x="340"/>
        <item x="287"/>
        <item x="248"/>
        <item x="297"/>
        <item x="77"/>
        <item x="105"/>
        <item x="12"/>
        <item x="187"/>
        <item x="179"/>
        <item x="80"/>
        <item x="254"/>
        <item x="79"/>
        <item x="102"/>
        <item x="106"/>
        <item x="312"/>
        <item x="17"/>
        <item x="386"/>
        <item x="67"/>
        <item x="390"/>
        <item x="185"/>
        <item x="292"/>
        <item x="324"/>
        <item x="221"/>
        <item x="93"/>
        <item x="239"/>
        <item x="23"/>
        <item x="151"/>
        <item x="328"/>
        <item x="307"/>
        <item x="125"/>
        <item x="345"/>
        <item x="197"/>
        <item x="21"/>
        <item x="84"/>
        <item x="280"/>
        <item x="357"/>
        <item x="26"/>
        <item x="353"/>
        <item x="196"/>
        <item x="167"/>
        <item x="289"/>
        <item x="137"/>
        <item x="325"/>
        <item x="171"/>
        <item x="92"/>
        <item x="343"/>
        <item x="123"/>
        <item x="275"/>
        <item x="170"/>
        <item x="347"/>
        <item x="332"/>
        <item x="95"/>
        <item x="326"/>
        <item x="226"/>
        <item x="201"/>
        <item x="89"/>
        <item x="208"/>
        <item x="333"/>
        <item x="134"/>
        <item x="8"/>
        <item x="142"/>
        <item x="10"/>
        <item x="135"/>
        <item x="97"/>
        <item x="78"/>
        <item x="268"/>
        <item x="190"/>
        <item x="41"/>
        <item x="155"/>
        <item x="295"/>
        <item x="54"/>
        <item x="166"/>
        <item x="1"/>
        <item x="372"/>
        <item x="81"/>
        <item x="309"/>
        <item x="181"/>
        <item x="361"/>
        <item x="265"/>
        <item x="245"/>
        <item x="258"/>
        <item x="111"/>
        <item x="233"/>
        <item x="152"/>
        <item x="315"/>
        <item x="60"/>
        <item x="85"/>
        <item x="3"/>
        <item x="331"/>
        <item x="199"/>
        <item x="317"/>
        <item x="19"/>
        <item x="222"/>
        <item x="236"/>
        <item x="216"/>
        <item x="32"/>
        <item x="162"/>
        <item x="231"/>
        <item x="311"/>
        <item x="336"/>
        <item x="286"/>
        <item x="175"/>
        <item x="224"/>
        <item x="193"/>
        <item x="337"/>
        <item x="388"/>
        <item x="42"/>
        <item x="219"/>
        <item x="218"/>
        <item x="141"/>
        <item x="366"/>
        <item x="49"/>
        <item x="47"/>
        <item x="298"/>
        <item x="360"/>
        <item x="148"/>
        <item x="127"/>
        <item x="177"/>
        <item x="296"/>
        <item x="213"/>
        <item x="69"/>
        <item x="147"/>
        <item x="294"/>
        <item x="342"/>
        <item x="56"/>
        <item x="143"/>
        <item x="247"/>
        <item x="195"/>
        <item x="313"/>
        <item x="150"/>
        <item x="57"/>
        <item x="168"/>
        <item x="33"/>
        <item x="207"/>
        <item x="302"/>
        <item x="246"/>
        <item x="262"/>
        <item x="369"/>
        <item x="370"/>
        <item x="45"/>
        <item x="330"/>
        <item x="281"/>
        <item x="136"/>
        <item x="149"/>
        <item x="329"/>
        <item x="261"/>
        <item x="28"/>
        <item x="202"/>
        <item x="130"/>
        <item x="188"/>
        <item x="241"/>
        <item x="300"/>
        <item x="70"/>
        <item x="225"/>
        <item x="194"/>
        <item x="259"/>
        <item x="20"/>
        <item x="163"/>
        <item x="250"/>
        <item x="59"/>
        <item x="76"/>
        <item x="87"/>
        <item x="282"/>
        <item x="46"/>
        <item x="356"/>
        <item x="260"/>
        <item x="99"/>
        <item x="377"/>
        <item x="209"/>
        <item x="346"/>
        <item x="7"/>
        <item x="133"/>
        <item x="316"/>
        <item x="6"/>
        <item x="35"/>
        <item x="223"/>
        <item x="30"/>
        <item x="234"/>
        <item x="308"/>
        <item x="164"/>
        <item x="114"/>
        <item x="220"/>
        <item x="31"/>
        <item x="334"/>
        <item x="51"/>
        <item x="122"/>
        <item x="183"/>
        <item x="279"/>
        <item x="104"/>
        <item x="198"/>
        <item x="352"/>
        <item x="66"/>
        <item x="103"/>
        <item x="257"/>
        <item x="274"/>
        <item x="203"/>
        <item x="240"/>
        <item x="110"/>
        <item x="153"/>
        <item x="323"/>
        <item x="229"/>
        <item x="37"/>
        <item x="253"/>
        <item x="98"/>
        <item x="255"/>
        <item x="128"/>
        <item x="283"/>
        <item x="228"/>
        <item x="96"/>
        <item x="132"/>
        <item x="273"/>
        <item x="94"/>
        <item x="16"/>
        <item x="65"/>
        <item x="101"/>
        <item x="55"/>
        <item x="321"/>
        <item x="373"/>
        <item x="124"/>
        <item x="376"/>
        <item x="367"/>
        <item x="205"/>
        <item x="276"/>
        <item x="107"/>
        <item x="310"/>
        <item x="2"/>
        <item x="354"/>
        <item x="206"/>
        <item x="266"/>
        <item x="318"/>
        <item x="335"/>
        <item x="58"/>
        <item x="363"/>
        <item x="140"/>
        <item x="145"/>
        <item x="299"/>
        <item x="322"/>
        <item x="349"/>
        <item x="15"/>
        <item x="291"/>
        <item x="327"/>
        <item x="306"/>
        <item x="83"/>
        <item x="4"/>
        <item x="13"/>
        <item x="244"/>
        <item x="43"/>
        <item x="157"/>
        <item x="44"/>
        <item x="108"/>
        <item x="184"/>
        <item x="379"/>
        <item x="271"/>
        <item x="304"/>
        <item x="215"/>
        <item x="158"/>
        <item x="303"/>
        <item x="378"/>
        <item x="256"/>
        <item x="351"/>
        <item x="344"/>
        <item x="391"/>
        <item x="237"/>
        <item x="371"/>
        <item x="161"/>
        <item x="186"/>
        <item x="217"/>
        <item x="126"/>
        <item x="68"/>
        <item x="48"/>
        <item x="121"/>
        <item x="319"/>
        <item x="339"/>
        <item x="284"/>
        <item x="278"/>
        <item x="64"/>
        <item x="277"/>
        <item x="389"/>
        <item x="27"/>
        <item x="24"/>
        <item x="18"/>
        <item x="232"/>
        <item x="269"/>
        <item x="34"/>
        <item x="138"/>
        <item x="139"/>
        <item x="180"/>
        <item x="263"/>
        <item x="338"/>
        <item x="288"/>
        <item x="50"/>
        <item x="116"/>
        <item x="227"/>
        <item x="63"/>
        <item x="74"/>
        <item x="387"/>
        <item x="385"/>
        <item x="285"/>
        <item x="112"/>
        <item x="0"/>
        <item x="90"/>
        <item x="211"/>
        <item x="380"/>
        <item x="11"/>
        <item x="159"/>
        <item x="156"/>
        <item x="117"/>
        <item x="176"/>
        <item x="178"/>
        <item x="320"/>
        <item x="72"/>
        <item x="272"/>
        <item x="62"/>
        <item x="189"/>
        <item x="368"/>
        <item x="204"/>
        <item x="38"/>
        <item x="131"/>
        <item x="9"/>
        <item x="249"/>
        <item x="88"/>
        <item x="270"/>
        <item x="109"/>
        <item x="355"/>
        <item x="375"/>
        <item x="71"/>
        <item x="314"/>
        <item x="383"/>
        <item x="301"/>
        <item x="384"/>
        <item x="113"/>
        <item x="392"/>
        <item x="14"/>
        <item x="365"/>
        <item x="252"/>
        <item x="348"/>
        <item x="182"/>
        <item x="82"/>
        <item x="381"/>
        <item x="235"/>
        <item x="86"/>
        <item h="1" x="393"/>
        <item t="default"/>
      </items>
    </pivotField>
    <pivotField showAll="0"/>
    <pivotField showAll="0"/>
    <pivotField showAll="0"/>
    <pivotField showAll="0"/>
    <pivotField dataField="1" showAll="0"/>
    <pivotField axis="axisRow" showAll="0">
      <items count="15">
        <item sd="0" x="0"/>
        <item sd="0" x="1"/>
        <item sd="0" x="2"/>
        <item sd="0" x="3"/>
        <item sd="0" x="4"/>
        <item sd="0" x="5"/>
        <item sd="0" x="6"/>
        <item x="7"/>
        <item sd="0" x="8"/>
        <item sd="0" x="9"/>
        <item sd="0" x="10"/>
        <item sd="0" x="11"/>
        <item sd="0" x="12"/>
        <item sd="0" x="13"/>
        <item t="default"/>
      </items>
    </pivotField>
    <pivotField axis="axisRow" showAll="0">
      <items count="7">
        <item sd="0" x="0"/>
        <item sd="0" x="1"/>
        <item sd="0" x="2"/>
        <item x="3"/>
        <item sd="0" x="4"/>
        <item sd="0" x="5"/>
        <item t="default"/>
      </items>
    </pivotField>
    <pivotField axis="axisRow" showAll="0">
      <items count="6">
        <item sd="0" x="0"/>
        <item sd="0" x="1"/>
        <item sd="0" x="2"/>
        <item sd="0" x="3"/>
        <item sd="0" x="4"/>
        <item t="default"/>
      </items>
    </pivotField>
  </pivotFields>
  <rowFields count="4">
    <field x="14"/>
    <field x="13"/>
    <field x="12"/>
    <field x="6"/>
  </rowFields>
  <rowItems count="4">
    <i>
      <x v="1"/>
    </i>
    <i>
      <x v="2"/>
    </i>
    <i>
      <x v="3"/>
    </i>
    <i t="grand">
      <x/>
    </i>
  </rowItems>
  <colFields count="1">
    <field x="-2"/>
  </colFields>
  <colItems count="3">
    <i>
      <x/>
    </i>
    <i i="1">
      <x v="1"/>
    </i>
    <i i="2">
      <x v="2"/>
    </i>
  </colItems>
  <dataFields count="3">
    <dataField name="Count of Order ID" fld="11" subtotal="count" baseField="0" baseItem="0"/>
    <dataField name="Sum of Units Sold" fld="3" baseField="0" baseItem="0" numFmtId="1"/>
    <dataField name="Sum of Total Sale" fld="5" baseField="0" baseItem="0" numFmtId="164"/>
  </dataFields>
  <formats count="5">
    <format dxfId="27">
      <pivotArea collapsedLevelsAreSubtotals="1" fieldPosition="0">
        <references count="2">
          <reference field="4294967294" count="1" selected="0">
            <x v="2"/>
          </reference>
          <reference field="14" count="1">
            <x v="1"/>
          </reference>
        </references>
      </pivotArea>
    </format>
    <format dxfId="26">
      <pivotArea collapsedLevelsAreSubtotals="1" fieldPosition="0">
        <references count="2">
          <reference field="4294967294" count="1" selected="0">
            <x v="2"/>
          </reference>
          <reference field="14" count="1">
            <x v="2"/>
          </reference>
        </references>
      </pivotArea>
    </format>
    <format dxfId="25">
      <pivotArea collapsedLevelsAreSubtotals="1" fieldPosition="0">
        <references count="2">
          <reference field="4294967294" count="1" selected="0">
            <x v="2"/>
          </reference>
          <reference field="14" count="1">
            <x v="3"/>
          </reference>
        </references>
      </pivotArea>
    </format>
    <format dxfId="24">
      <pivotArea outline="0" collapsedLevelsAreSubtotals="1" fieldPosition="0">
        <references count="1">
          <reference field="4294967294" count="1" selected="0">
            <x v="1"/>
          </reference>
        </references>
      </pivotArea>
    </format>
    <format dxfId="2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B4E1CB-48C3-4E0C-B118-F14DEC6DFA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A3:E12" firstHeaderRow="0" firstDataRow="1" firstDataCol="1"/>
  <pivotFields count="15">
    <pivotField showAll="0"/>
    <pivotField showAll="0"/>
    <pivotField axis="axisRow" showAll="0" sortType="descending">
      <items count="10">
        <item x="3"/>
        <item x="5"/>
        <item x="1"/>
        <item x="0"/>
        <item x="4"/>
        <item x="6"/>
        <item x="7"/>
        <item x="2"/>
        <item h="1" x="8"/>
        <item t="default"/>
      </items>
      <autoSortScope>
        <pivotArea dataOnly="0" outline="0" fieldPosition="0">
          <references count="1">
            <reference field="4294967294" count="1" selected="0">
              <x v="3"/>
            </reference>
          </references>
        </pivotArea>
      </autoSortScope>
    </pivotField>
    <pivotField dataField="1" showAll="0"/>
    <pivotField showAll="0"/>
    <pivotField dataField="1" showAll="0"/>
    <pivotField showAll="0">
      <items count="395">
        <item x="364"/>
        <item x="210"/>
        <item x="264"/>
        <item x="293"/>
        <item x="191"/>
        <item x="29"/>
        <item x="118"/>
        <item x="129"/>
        <item x="290"/>
        <item x="382"/>
        <item x="242"/>
        <item x="115"/>
        <item x="341"/>
        <item x="120"/>
        <item x="200"/>
        <item x="174"/>
        <item x="358"/>
        <item x="73"/>
        <item x="374"/>
        <item x="146"/>
        <item x="305"/>
        <item x="5"/>
        <item x="40"/>
        <item x="144"/>
        <item x="52"/>
        <item x="91"/>
        <item x="119"/>
        <item x="39"/>
        <item x="192"/>
        <item x="100"/>
        <item x="173"/>
        <item x="359"/>
        <item x="362"/>
        <item x="165"/>
        <item x="212"/>
        <item x="350"/>
        <item x="267"/>
        <item x="230"/>
        <item x="22"/>
        <item x="169"/>
        <item x="75"/>
        <item x="53"/>
        <item x="61"/>
        <item x="36"/>
        <item x="160"/>
        <item x="214"/>
        <item x="243"/>
        <item x="25"/>
        <item x="251"/>
        <item x="172"/>
        <item x="154"/>
        <item x="238"/>
        <item x="340"/>
        <item x="287"/>
        <item x="248"/>
        <item x="297"/>
        <item x="77"/>
        <item x="105"/>
        <item x="12"/>
        <item x="187"/>
        <item x="179"/>
        <item x="80"/>
        <item x="254"/>
        <item x="79"/>
        <item x="102"/>
        <item x="106"/>
        <item x="312"/>
        <item x="17"/>
        <item x="386"/>
        <item x="67"/>
        <item x="390"/>
        <item x="185"/>
        <item x="292"/>
        <item x="324"/>
        <item x="221"/>
        <item x="93"/>
        <item x="239"/>
        <item x="23"/>
        <item x="151"/>
        <item x="328"/>
        <item x="307"/>
        <item x="125"/>
        <item x="345"/>
        <item x="197"/>
        <item x="21"/>
        <item x="84"/>
        <item x="280"/>
        <item x="357"/>
        <item x="26"/>
        <item x="353"/>
        <item x="196"/>
        <item x="167"/>
        <item x="289"/>
        <item x="137"/>
        <item x="325"/>
        <item x="171"/>
        <item x="92"/>
        <item x="343"/>
        <item x="123"/>
        <item x="275"/>
        <item x="170"/>
        <item x="347"/>
        <item x="332"/>
        <item x="95"/>
        <item x="326"/>
        <item x="226"/>
        <item x="201"/>
        <item x="89"/>
        <item x="208"/>
        <item x="333"/>
        <item x="134"/>
        <item x="8"/>
        <item x="142"/>
        <item x="10"/>
        <item x="135"/>
        <item x="97"/>
        <item x="78"/>
        <item x="268"/>
        <item x="190"/>
        <item x="41"/>
        <item x="155"/>
        <item x="295"/>
        <item x="54"/>
        <item x="166"/>
        <item x="1"/>
        <item x="372"/>
        <item x="81"/>
        <item x="309"/>
        <item x="181"/>
        <item x="361"/>
        <item x="265"/>
        <item x="245"/>
        <item x="258"/>
        <item x="111"/>
        <item x="233"/>
        <item x="152"/>
        <item x="315"/>
        <item x="60"/>
        <item x="85"/>
        <item x="3"/>
        <item x="331"/>
        <item x="199"/>
        <item x="317"/>
        <item x="19"/>
        <item x="222"/>
        <item x="236"/>
        <item x="216"/>
        <item x="32"/>
        <item x="162"/>
        <item x="231"/>
        <item x="311"/>
        <item x="336"/>
        <item x="286"/>
        <item x="175"/>
        <item x="224"/>
        <item x="193"/>
        <item x="337"/>
        <item x="388"/>
        <item x="42"/>
        <item x="219"/>
        <item x="218"/>
        <item x="141"/>
        <item x="366"/>
        <item x="49"/>
        <item x="47"/>
        <item x="298"/>
        <item x="360"/>
        <item x="148"/>
        <item x="127"/>
        <item x="177"/>
        <item x="296"/>
        <item x="213"/>
        <item x="69"/>
        <item x="147"/>
        <item x="294"/>
        <item x="342"/>
        <item x="56"/>
        <item x="143"/>
        <item x="247"/>
        <item x="195"/>
        <item x="313"/>
        <item x="150"/>
        <item x="57"/>
        <item x="168"/>
        <item x="33"/>
        <item x="207"/>
        <item x="302"/>
        <item x="246"/>
        <item x="262"/>
        <item x="369"/>
        <item x="370"/>
        <item x="45"/>
        <item x="330"/>
        <item x="281"/>
        <item x="136"/>
        <item x="149"/>
        <item x="329"/>
        <item x="261"/>
        <item x="28"/>
        <item x="202"/>
        <item x="130"/>
        <item x="188"/>
        <item x="241"/>
        <item x="300"/>
        <item x="70"/>
        <item x="225"/>
        <item x="194"/>
        <item x="259"/>
        <item x="20"/>
        <item x="163"/>
        <item x="250"/>
        <item x="59"/>
        <item x="76"/>
        <item x="87"/>
        <item x="282"/>
        <item x="46"/>
        <item x="356"/>
        <item x="260"/>
        <item x="99"/>
        <item x="377"/>
        <item x="209"/>
        <item x="346"/>
        <item x="7"/>
        <item x="133"/>
        <item x="316"/>
        <item x="6"/>
        <item x="35"/>
        <item x="223"/>
        <item x="30"/>
        <item x="234"/>
        <item x="308"/>
        <item x="164"/>
        <item x="114"/>
        <item x="220"/>
        <item x="31"/>
        <item x="334"/>
        <item x="51"/>
        <item x="122"/>
        <item x="183"/>
        <item x="279"/>
        <item x="104"/>
        <item x="198"/>
        <item x="352"/>
        <item x="66"/>
        <item x="103"/>
        <item x="257"/>
        <item x="274"/>
        <item x="203"/>
        <item x="240"/>
        <item x="110"/>
        <item x="153"/>
        <item x="323"/>
        <item x="229"/>
        <item x="37"/>
        <item x="253"/>
        <item x="98"/>
        <item x="255"/>
        <item x="128"/>
        <item x="283"/>
        <item x="228"/>
        <item x="96"/>
        <item x="132"/>
        <item x="273"/>
        <item x="94"/>
        <item x="16"/>
        <item x="65"/>
        <item x="101"/>
        <item x="55"/>
        <item x="321"/>
        <item x="373"/>
        <item x="124"/>
        <item x="376"/>
        <item x="367"/>
        <item x="205"/>
        <item x="276"/>
        <item x="107"/>
        <item x="310"/>
        <item x="2"/>
        <item x="354"/>
        <item x="206"/>
        <item x="266"/>
        <item x="318"/>
        <item x="335"/>
        <item x="58"/>
        <item x="363"/>
        <item x="140"/>
        <item x="145"/>
        <item x="299"/>
        <item x="322"/>
        <item x="349"/>
        <item x="15"/>
        <item x="291"/>
        <item x="327"/>
        <item x="306"/>
        <item x="83"/>
        <item x="4"/>
        <item x="13"/>
        <item x="244"/>
        <item x="43"/>
        <item x="157"/>
        <item x="44"/>
        <item x="108"/>
        <item x="184"/>
        <item x="379"/>
        <item x="271"/>
        <item x="304"/>
        <item x="215"/>
        <item x="158"/>
        <item x="303"/>
        <item x="378"/>
        <item x="256"/>
        <item x="351"/>
        <item x="344"/>
        <item x="391"/>
        <item x="237"/>
        <item x="371"/>
        <item x="161"/>
        <item x="186"/>
        <item x="217"/>
        <item x="126"/>
        <item x="68"/>
        <item x="48"/>
        <item x="121"/>
        <item x="319"/>
        <item x="339"/>
        <item x="284"/>
        <item x="278"/>
        <item x="64"/>
        <item x="277"/>
        <item x="389"/>
        <item x="27"/>
        <item x="24"/>
        <item x="18"/>
        <item x="232"/>
        <item x="269"/>
        <item x="34"/>
        <item x="138"/>
        <item x="139"/>
        <item x="180"/>
        <item x="263"/>
        <item x="338"/>
        <item x="288"/>
        <item x="50"/>
        <item x="116"/>
        <item x="227"/>
        <item x="63"/>
        <item x="74"/>
        <item x="387"/>
        <item x="385"/>
        <item x="285"/>
        <item x="112"/>
        <item x="0"/>
        <item x="90"/>
        <item x="211"/>
        <item x="380"/>
        <item x="11"/>
        <item x="159"/>
        <item x="156"/>
        <item x="117"/>
        <item x="176"/>
        <item x="178"/>
        <item x="320"/>
        <item x="72"/>
        <item x="272"/>
        <item x="62"/>
        <item x="189"/>
        <item x="368"/>
        <item x="204"/>
        <item x="38"/>
        <item x="131"/>
        <item x="9"/>
        <item x="249"/>
        <item x="88"/>
        <item x="270"/>
        <item x="109"/>
        <item x="355"/>
        <item x="375"/>
        <item x="71"/>
        <item x="314"/>
        <item x="383"/>
        <item x="301"/>
        <item x="384"/>
        <item x="113"/>
        <item x="392"/>
        <item x="14"/>
        <item x="365"/>
        <item x="252"/>
        <item x="348"/>
        <item x="182"/>
        <item x="82"/>
        <item x="381"/>
        <item x="235"/>
        <item x="86"/>
        <item x="393"/>
        <item t="default"/>
      </items>
    </pivotField>
    <pivotField showAll="0">
      <items count="5">
        <item x="2"/>
        <item x="1"/>
        <item x="0"/>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9">
    <i>
      <x v="3"/>
    </i>
    <i>
      <x v="6"/>
    </i>
    <i>
      <x v="7"/>
    </i>
    <i>
      <x v="2"/>
    </i>
    <i>
      <x v="5"/>
    </i>
    <i>
      <x v="1"/>
    </i>
    <i>
      <x v="4"/>
    </i>
    <i>
      <x/>
    </i>
    <i t="grand">
      <x/>
    </i>
  </rowItems>
  <colFields count="1">
    <field x="-2"/>
  </colFields>
  <colItems count="4">
    <i>
      <x/>
    </i>
    <i i="1">
      <x v="1"/>
    </i>
    <i i="2">
      <x v="2"/>
    </i>
    <i i="3">
      <x v="3"/>
    </i>
  </colItems>
  <dataFields count="4">
    <dataField name="Sum of Units Sold" fld="3" baseField="0" baseItem="0"/>
    <dataField name="Units Sold Percentage" fld="3" showDataAs="percentOfTotal" baseField="0" baseItem="0" numFmtId="10"/>
    <dataField name="Sum of Total Sale" fld="5" baseField="0" baseItem="0" numFmtId="164"/>
    <dataField name="Total Sales Percentage" fld="5" showDataAs="percentOfTotal" baseField="0" baseItem="0" numFmtId="10"/>
  </dataFields>
  <formats count="5">
    <format dxfId="22">
      <pivotArea outline="0" collapsedLevelsAreSubtotals="1" fieldPosition="0">
        <references count="1">
          <reference field="4294967294" count="1" selected="0">
            <x v="2"/>
          </reference>
        </references>
      </pivotArea>
    </format>
    <format dxfId="21">
      <pivotArea outline="0" fieldPosition="0">
        <references count="1">
          <reference field="4294967294" count="1">
            <x v="3"/>
          </reference>
        </references>
      </pivotArea>
    </format>
    <format dxfId="20">
      <pivotArea field="2" type="button" dataOnly="0" labelOnly="1" outline="0" axis="axisRow" fieldPosition="0"/>
    </format>
    <format dxfId="19">
      <pivotArea dataOnly="0" labelOnly="1" outline="0" fieldPosition="0">
        <references count="1">
          <reference field="4294967294" count="3">
            <x v="0"/>
            <x v="2"/>
            <x v="3"/>
          </reference>
        </references>
      </pivotArea>
    </format>
    <format dxfId="18">
      <pivotArea outline="0" fieldPosition="0">
        <references count="1">
          <reference field="4294967294" count="1">
            <x v="1"/>
          </reference>
        </references>
      </pivotArea>
    </format>
  </formats>
  <conditionalFormats count="1">
    <conditionalFormat priority="1">
      <pivotAreas count="1">
        <pivotArea type="data" collapsedLevelsAreSubtotals="1" fieldPosition="0">
          <references count="2">
            <reference field="4294967294" count="1" selected="0">
              <x v="3"/>
            </reference>
            <reference field="2" count="8">
              <x v="0"/>
              <x v="1"/>
              <x v="2"/>
              <x v="3"/>
              <x v="4"/>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6C70B1-D33F-461E-BFF7-A157E1DD05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3:E24" firstHeaderRow="0" firstDataRow="1" firstDataCol="1"/>
  <pivotFields count="15">
    <pivotField showAll="0"/>
    <pivotField axis="axisRow" showAll="0" sortType="descending">
      <items count="22">
        <item x="9"/>
        <item x="2"/>
        <item x="11"/>
        <item x="16"/>
        <item x="18"/>
        <item x="19"/>
        <item x="3"/>
        <item x="13"/>
        <item x="10"/>
        <item x="5"/>
        <item x="14"/>
        <item x="6"/>
        <item x="12"/>
        <item x="1"/>
        <item x="8"/>
        <item x="17"/>
        <item x="4"/>
        <item x="7"/>
        <item x="0"/>
        <item x="15"/>
        <item h="1" x="20"/>
        <item t="default"/>
      </items>
      <autoSortScope>
        <pivotArea dataOnly="0" outline="0" fieldPosition="0">
          <references count="1">
            <reference field="4294967294" count="1" selected="0">
              <x v="3"/>
            </reference>
          </references>
        </pivotArea>
      </autoSortScope>
    </pivotField>
    <pivotField showAll="0">
      <items count="10">
        <item x="3"/>
        <item x="5"/>
        <item x="1"/>
        <item x="0"/>
        <item x="4"/>
        <item x="6"/>
        <item x="7"/>
        <item x="2"/>
        <item x="8"/>
        <item t="default"/>
      </items>
    </pivotField>
    <pivotField showAll="0"/>
    <pivotField showAll="0"/>
    <pivotField dataField="1" showAll="0"/>
    <pivotField showAll="0">
      <items count="395">
        <item x="364"/>
        <item x="210"/>
        <item x="264"/>
        <item x="293"/>
        <item x="191"/>
        <item x="29"/>
        <item x="118"/>
        <item x="129"/>
        <item x="290"/>
        <item x="382"/>
        <item x="242"/>
        <item x="115"/>
        <item x="341"/>
        <item x="120"/>
        <item x="200"/>
        <item x="174"/>
        <item x="358"/>
        <item x="73"/>
        <item x="374"/>
        <item x="146"/>
        <item x="305"/>
        <item x="5"/>
        <item x="40"/>
        <item x="144"/>
        <item x="52"/>
        <item x="91"/>
        <item x="119"/>
        <item x="39"/>
        <item x="192"/>
        <item x="100"/>
        <item x="173"/>
        <item x="359"/>
        <item x="362"/>
        <item x="165"/>
        <item x="212"/>
        <item x="350"/>
        <item x="267"/>
        <item x="230"/>
        <item x="22"/>
        <item x="169"/>
        <item x="75"/>
        <item x="53"/>
        <item x="61"/>
        <item x="36"/>
        <item x="160"/>
        <item x="214"/>
        <item x="243"/>
        <item x="25"/>
        <item x="251"/>
        <item x="172"/>
        <item x="154"/>
        <item x="238"/>
        <item x="340"/>
        <item x="287"/>
        <item x="248"/>
        <item x="297"/>
        <item x="77"/>
        <item x="105"/>
        <item x="12"/>
        <item x="187"/>
        <item x="179"/>
        <item x="80"/>
        <item x="254"/>
        <item x="79"/>
        <item x="102"/>
        <item x="106"/>
        <item x="312"/>
        <item x="17"/>
        <item x="386"/>
        <item x="67"/>
        <item x="390"/>
        <item x="185"/>
        <item x="292"/>
        <item x="324"/>
        <item x="221"/>
        <item x="93"/>
        <item x="239"/>
        <item x="23"/>
        <item x="151"/>
        <item x="328"/>
        <item x="307"/>
        <item x="125"/>
        <item x="345"/>
        <item x="197"/>
        <item x="21"/>
        <item x="84"/>
        <item x="280"/>
        <item x="357"/>
        <item x="26"/>
        <item x="353"/>
        <item x="196"/>
        <item x="167"/>
        <item x="289"/>
        <item x="137"/>
        <item x="325"/>
        <item x="171"/>
        <item x="92"/>
        <item x="343"/>
        <item x="123"/>
        <item x="275"/>
        <item x="170"/>
        <item x="347"/>
        <item x="332"/>
        <item x="95"/>
        <item x="326"/>
        <item x="226"/>
        <item x="201"/>
        <item x="89"/>
        <item x="208"/>
        <item x="333"/>
        <item x="134"/>
        <item x="8"/>
        <item x="142"/>
        <item x="10"/>
        <item x="135"/>
        <item x="97"/>
        <item x="78"/>
        <item x="268"/>
        <item x="190"/>
        <item x="41"/>
        <item x="155"/>
        <item x="295"/>
        <item x="54"/>
        <item x="166"/>
        <item x="1"/>
        <item x="372"/>
        <item x="81"/>
        <item x="309"/>
        <item x="181"/>
        <item x="361"/>
        <item x="265"/>
        <item x="245"/>
        <item x="258"/>
        <item x="111"/>
        <item x="233"/>
        <item x="152"/>
        <item x="315"/>
        <item x="60"/>
        <item x="85"/>
        <item x="3"/>
        <item x="331"/>
        <item x="199"/>
        <item x="317"/>
        <item x="19"/>
        <item x="222"/>
        <item x="236"/>
        <item x="216"/>
        <item x="32"/>
        <item x="162"/>
        <item x="231"/>
        <item x="311"/>
        <item x="336"/>
        <item x="286"/>
        <item x="175"/>
        <item x="224"/>
        <item x="193"/>
        <item x="337"/>
        <item x="388"/>
        <item x="42"/>
        <item x="219"/>
        <item x="218"/>
        <item x="141"/>
        <item x="366"/>
        <item x="49"/>
        <item x="47"/>
        <item x="298"/>
        <item x="360"/>
        <item x="148"/>
        <item x="127"/>
        <item x="177"/>
        <item x="296"/>
        <item x="213"/>
        <item x="69"/>
        <item x="147"/>
        <item x="294"/>
        <item x="342"/>
        <item x="56"/>
        <item x="143"/>
        <item x="247"/>
        <item x="195"/>
        <item x="313"/>
        <item x="150"/>
        <item x="57"/>
        <item x="168"/>
        <item x="33"/>
        <item x="207"/>
        <item x="302"/>
        <item x="246"/>
        <item x="262"/>
        <item x="369"/>
        <item x="370"/>
        <item x="45"/>
        <item x="330"/>
        <item x="281"/>
        <item x="136"/>
        <item x="149"/>
        <item x="329"/>
        <item x="261"/>
        <item x="28"/>
        <item x="202"/>
        <item x="130"/>
        <item x="188"/>
        <item x="241"/>
        <item x="300"/>
        <item x="70"/>
        <item x="225"/>
        <item x="194"/>
        <item x="259"/>
        <item x="20"/>
        <item x="163"/>
        <item x="250"/>
        <item x="59"/>
        <item x="76"/>
        <item x="87"/>
        <item x="282"/>
        <item x="46"/>
        <item x="356"/>
        <item x="260"/>
        <item x="99"/>
        <item x="377"/>
        <item x="209"/>
        <item x="346"/>
        <item x="7"/>
        <item x="133"/>
        <item x="316"/>
        <item x="6"/>
        <item x="35"/>
        <item x="223"/>
        <item x="30"/>
        <item x="234"/>
        <item x="308"/>
        <item x="164"/>
        <item x="114"/>
        <item x="220"/>
        <item x="31"/>
        <item x="334"/>
        <item x="51"/>
        <item x="122"/>
        <item x="183"/>
        <item x="279"/>
        <item x="104"/>
        <item x="198"/>
        <item x="352"/>
        <item x="66"/>
        <item x="103"/>
        <item x="257"/>
        <item x="274"/>
        <item x="203"/>
        <item x="240"/>
        <item x="110"/>
        <item x="153"/>
        <item x="323"/>
        <item x="229"/>
        <item x="37"/>
        <item x="253"/>
        <item x="98"/>
        <item x="255"/>
        <item x="128"/>
        <item x="283"/>
        <item x="228"/>
        <item x="96"/>
        <item x="132"/>
        <item x="273"/>
        <item x="94"/>
        <item x="16"/>
        <item x="65"/>
        <item x="101"/>
        <item x="55"/>
        <item x="321"/>
        <item x="373"/>
        <item x="124"/>
        <item x="376"/>
        <item x="367"/>
        <item x="205"/>
        <item x="276"/>
        <item x="107"/>
        <item x="310"/>
        <item x="2"/>
        <item x="354"/>
        <item x="206"/>
        <item x="266"/>
        <item x="318"/>
        <item x="335"/>
        <item x="58"/>
        <item x="363"/>
        <item x="140"/>
        <item x="145"/>
        <item x="299"/>
        <item x="322"/>
        <item x="349"/>
        <item x="15"/>
        <item x="291"/>
        <item x="327"/>
        <item x="306"/>
        <item x="83"/>
        <item x="4"/>
        <item x="13"/>
        <item x="244"/>
        <item x="43"/>
        <item x="157"/>
        <item x="44"/>
        <item x="108"/>
        <item x="184"/>
        <item x="379"/>
        <item x="271"/>
        <item x="304"/>
        <item x="215"/>
        <item x="158"/>
        <item x="303"/>
        <item x="378"/>
        <item x="256"/>
        <item x="351"/>
        <item x="344"/>
        <item x="391"/>
        <item x="237"/>
        <item x="371"/>
        <item x="161"/>
        <item x="186"/>
        <item x="217"/>
        <item x="126"/>
        <item x="68"/>
        <item x="48"/>
        <item x="121"/>
        <item x="319"/>
        <item x="339"/>
        <item x="284"/>
        <item x="278"/>
        <item x="64"/>
        <item x="277"/>
        <item x="389"/>
        <item x="27"/>
        <item x="24"/>
        <item x="18"/>
        <item x="232"/>
        <item x="269"/>
        <item x="34"/>
        <item x="138"/>
        <item x="139"/>
        <item x="180"/>
        <item x="263"/>
        <item x="338"/>
        <item x="288"/>
        <item x="50"/>
        <item x="116"/>
        <item x="227"/>
        <item x="63"/>
        <item x="74"/>
        <item x="387"/>
        <item x="385"/>
        <item x="285"/>
        <item x="112"/>
        <item x="0"/>
        <item x="90"/>
        <item x="211"/>
        <item x="380"/>
        <item x="11"/>
        <item x="159"/>
        <item x="156"/>
        <item x="117"/>
        <item x="176"/>
        <item x="178"/>
        <item x="320"/>
        <item x="72"/>
        <item x="272"/>
        <item x="62"/>
        <item x="189"/>
        <item x="368"/>
        <item x="204"/>
        <item x="38"/>
        <item x="131"/>
        <item x="9"/>
        <item x="249"/>
        <item x="88"/>
        <item x="270"/>
        <item x="109"/>
        <item x="355"/>
        <item x="375"/>
        <item x="71"/>
        <item x="314"/>
        <item x="383"/>
        <item x="301"/>
        <item x="384"/>
        <item x="113"/>
        <item x="392"/>
        <item x="14"/>
        <item x="365"/>
        <item x="252"/>
        <item x="348"/>
        <item x="182"/>
        <item x="82"/>
        <item x="381"/>
        <item x="235"/>
        <item x="86"/>
        <item x="393"/>
        <item t="default"/>
      </items>
    </pivotField>
    <pivotField showAll="0">
      <items count="5">
        <item x="2"/>
        <item x="1"/>
        <item x="0"/>
        <item x="3"/>
        <item t="default"/>
      </items>
    </pivotField>
    <pivotField showAll="0">
      <items count="27">
        <item x="3"/>
        <item x="0"/>
        <item x="5"/>
        <item x="13"/>
        <item x="16"/>
        <item x="2"/>
        <item x="7"/>
        <item x="22"/>
        <item x="14"/>
        <item x="4"/>
        <item x="18"/>
        <item x="17"/>
        <item x="24"/>
        <item x="23"/>
        <item x="8"/>
        <item x="1"/>
        <item x="12"/>
        <item x="21"/>
        <item x="9"/>
        <item x="10"/>
        <item x="11"/>
        <item x="15"/>
        <item x="19"/>
        <item x="20"/>
        <item x="6"/>
        <item x="25"/>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21">
    <i>
      <x v="11"/>
    </i>
    <i>
      <x v="3"/>
    </i>
    <i>
      <x v="18"/>
    </i>
    <i>
      <x v="6"/>
    </i>
    <i>
      <x v="14"/>
    </i>
    <i>
      <x v="9"/>
    </i>
    <i>
      <x v="17"/>
    </i>
    <i>
      <x v="10"/>
    </i>
    <i>
      <x v="19"/>
    </i>
    <i>
      <x v="15"/>
    </i>
    <i>
      <x v="13"/>
    </i>
    <i>
      <x v="12"/>
    </i>
    <i>
      <x v="8"/>
    </i>
    <i>
      <x v="2"/>
    </i>
    <i>
      <x/>
    </i>
    <i>
      <x v="5"/>
    </i>
    <i>
      <x v="16"/>
    </i>
    <i>
      <x v="4"/>
    </i>
    <i>
      <x v="7"/>
    </i>
    <i>
      <x v="1"/>
    </i>
    <i t="grand">
      <x/>
    </i>
  </rowItems>
  <colFields count="1">
    <field x="-2"/>
  </colFields>
  <colItems count="4">
    <i>
      <x/>
    </i>
    <i i="1">
      <x v="1"/>
    </i>
    <i i="2">
      <x v="2"/>
    </i>
    <i i="3">
      <x v="3"/>
    </i>
  </colItems>
  <dataFields count="4">
    <dataField name="Count of Order ID" fld="11" subtotal="count" baseField="0" baseItem="0"/>
    <dataField name="Percentage of Order " fld="11" subtotal="count" showDataAs="percentOfTotal" baseField="0" baseItem="0" numFmtId="10"/>
    <dataField name="Sum of Total Sale" fld="5" baseField="0" baseItem="0" numFmtId="165"/>
    <dataField name="Percentage of Total Sales" fld="5" showDataAs="percentOfTotal" baseField="0" baseItem="0" numFmtId="10"/>
  </dataFields>
  <formats count="3">
    <format dxfId="17">
      <pivotArea outline="0" collapsedLevelsAreSubtotals="1" fieldPosition="0">
        <references count="1">
          <reference field="4294967294" count="1" selected="0">
            <x v="2"/>
          </reference>
        </references>
      </pivotArea>
    </format>
    <format dxfId="16">
      <pivotArea dataOnly="0" labelOnly="1" outline="0" fieldPosition="0">
        <references count="1">
          <reference field="4294967294" count="1">
            <x v="2"/>
          </reference>
        </references>
      </pivotArea>
    </format>
    <format dxfId="15">
      <pivotArea outline="0" fieldPosition="0">
        <references count="1">
          <reference field="4294967294" count="1">
            <x v="3"/>
          </reference>
        </references>
      </pivotArea>
    </format>
  </formats>
  <conditionalFormats count="1">
    <conditionalFormat priority="1">
      <pivotAreas count="1">
        <pivotArea type="data" collapsedLevelsAreSubtotals="1" fieldPosition="0">
          <references count="2">
            <reference field="4294967294" count="1" selected="0">
              <x v="3"/>
            </reference>
            <reference field="1" count="20">
              <x v="0"/>
              <x v="1"/>
              <x v="2"/>
              <x v="3"/>
              <x v="4"/>
              <x v="5"/>
              <x v="6"/>
              <x v="7"/>
              <x v="8"/>
              <x v="9"/>
              <x v="10"/>
              <x v="11"/>
              <x v="12"/>
              <x v="13"/>
              <x v="14"/>
              <x v="15"/>
              <x v="16"/>
              <x v="17"/>
              <x v="18"/>
              <x v="1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B46D72-0FBD-46E2-978C-7F44596943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0" firstDataRow="1" firstDataCol="1"/>
  <pivotFields count="15">
    <pivotField showAll="0"/>
    <pivotField showAll="0"/>
    <pivotField showAll="0"/>
    <pivotField showAll="0"/>
    <pivotField showAll="0"/>
    <pivotField dataField="1" showAll="0"/>
    <pivotField showAll="0">
      <items count="395">
        <item x="364"/>
        <item x="210"/>
        <item x="264"/>
        <item x="293"/>
        <item x="191"/>
        <item x="29"/>
        <item x="118"/>
        <item x="129"/>
        <item x="290"/>
        <item x="382"/>
        <item x="242"/>
        <item x="115"/>
        <item x="341"/>
        <item x="120"/>
        <item x="200"/>
        <item x="174"/>
        <item x="358"/>
        <item x="73"/>
        <item x="374"/>
        <item x="146"/>
        <item x="305"/>
        <item x="5"/>
        <item x="40"/>
        <item x="144"/>
        <item x="52"/>
        <item x="91"/>
        <item x="119"/>
        <item x="39"/>
        <item x="192"/>
        <item x="100"/>
        <item x="173"/>
        <item x="359"/>
        <item x="362"/>
        <item x="165"/>
        <item x="212"/>
        <item x="350"/>
        <item x="267"/>
        <item x="230"/>
        <item x="22"/>
        <item x="169"/>
        <item x="75"/>
        <item x="53"/>
        <item x="61"/>
        <item x="36"/>
        <item x="160"/>
        <item x="214"/>
        <item x="243"/>
        <item x="25"/>
        <item x="251"/>
        <item x="172"/>
        <item x="154"/>
        <item x="238"/>
        <item x="340"/>
        <item x="287"/>
        <item x="248"/>
        <item x="297"/>
        <item x="77"/>
        <item x="105"/>
        <item x="12"/>
        <item x="187"/>
        <item x="179"/>
        <item x="80"/>
        <item x="254"/>
        <item x="79"/>
        <item x="102"/>
        <item x="106"/>
        <item x="312"/>
        <item x="17"/>
        <item x="386"/>
        <item x="67"/>
        <item x="390"/>
        <item x="185"/>
        <item x="292"/>
        <item x="324"/>
        <item x="221"/>
        <item x="93"/>
        <item x="239"/>
        <item x="23"/>
        <item x="151"/>
        <item x="328"/>
        <item x="307"/>
        <item x="125"/>
        <item x="345"/>
        <item x="197"/>
        <item x="21"/>
        <item x="84"/>
        <item x="280"/>
        <item x="357"/>
        <item x="26"/>
        <item x="353"/>
        <item x="196"/>
        <item x="167"/>
        <item x="289"/>
        <item x="137"/>
        <item x="325"/>
        <item x="171"/>
        <item x="92"/>
        <item x="343"/>
        <item x="123"/>
        <item x="275"/>
        <item x="170"/>
        <item x="347"/>
        <item x="332"/>
        <item x="95"/>
        <item x="326"/>
        <item x="226"/>
        <item x="201"/>
        <item x="89"/>
        <item x="208"/>
        <item x="333"/>
        <item x="134"/>
        <item x="8"/>
        <item x="142"/>
        <item x="10"/>
        <item x="135"/>
        <item x="97"/>
        <item x="78"/>
        <item x="268"/>
        <item x="190"/>
        <item x="41"/>
        <item x="155"/>
        <item x="295"/>
        <item x="54"/>
        <item x="166"/>
        <item x="1"/>
        <item x="372"/>
        <item x="81"/>
        <item x="309"/>
        <item x="181"/>
        <item x="361"/>
        <item x="265"/>
        <item x="245"/>
        <item x="258"/>
        <item x="111"/>
        <item x="233"/>
        <item x="152"/>
        <item x="315"/>
        <item x="60"/>
        <item x="85"/>
        <item x="3"/>
        <item x="331"/>
        <item x="199"/>
        <item x="317"/>
        <item x="19"/>
        <item x="222"/>
        <item x="236"/>
        <item x="216"/>
        <item x="32"/>
        <item x="162"/>
        <item x="231"/>
        <item x="311"/>
        <item x="336"/>
        <item x="286"/>
        <item x="175"/>
        <item x="224"/>
        <item x="193"/>
        <item x="337"/>
        <item x="388"/>
        <item x="42"/>
        <item x="219"/>
        <item x="218"/>
        <item x="141"/>
        <item x="366"/>
        <item x="49"/>
        <item x="47"/>
        <item x="298"/>
        <item x="360"/>
        <item x="148"/>
        <item x="127"/>
        <item x="177"/>
        <item x="296"/>
        <item x="213"/>
        <item x="69"/>
        <item x="147"/>
        <item x="294"/>
        <item x="342"/>
        <item x="56"/>
        <item x="143"/>
        <item x="247"/>
        <item x="195"/>
        <item x="313"/>
        <item x="150"/>
        <item x="57"/>
        <item x="168"/>
        <item x="33"/>
        <item x="207"/>
        <item x="302"/>
        <item x="246"/>
        <item x="262"/>
        <item x="369"/>
        <item x="370"/>
        <item x="45"/>
        <item x="330"/>
        <item x="281"/>
        <item x="136"/>
        <item x="149"/>
        <item x="329"/>
        <item x="261"/>
        <item x="28"/>
        <item x="202"/>
        <item x="130"/>
        <item x="188"/>
        <item x="241"/>
        <item x="300"/>
        <item x="70"/>
        <item x="225"/>
        <item x="194"/>
        <item x="259"/>
        <item x="20"/>
        <item x="163"/>
        <item x="250"/>
        <item x="59"/>
        <item x="76"/>
        <item x="87"/>
        <item x="282"/>
        <item x="46"/>
        <item x="356"/>
        <item x="260"/>
        <item x="99"/>
        <item x="377"/>
        <item x="209"/>
        <item x="346"/>
        <item x="7"/>
        <item x="133"/>
        <item x="316"/>
        <item x="6"/>
        <item x="35"/>
        <item x="223"/>
        <item x="30"/>
        <item x="234"/>
        <item x="308"/>
        <item x="164"/>
        <item x="114"/>
        <item x="220"/>
        <item x="31"/>
        <item x="334"/>
        <item x="51"/>
        <item x="122"/>
        <item x="183"/>
        <item x="279"/>
        <item x="104"/>
        <item x="198"/>
        <item x="352"/>
        <item x="66"/>
        <item x="103"/>
        <item x="257"/>
        <item x="274"/>
        <item x="203"/>
        <item x="240"/>
        <item x="110"/>
        <item x="153"/>
        <item x="323"/>
        <item x="229"/>
        <item x="37"/>
        <item x="253"/>
        <item x="98"/>
        <item x="255"/>
        <item x="128"/>
        <item x="283"/>
        <item x="228"/>
        <item x="96"/>
        <item x="132"/>
        <item x="273"/>
        <item x="94"/>
        <item x="16"/>
        <item x="65"/>
        <item x="101"/>
        <item x="55"/>
        <item x="321"/>
        <item x="373"/>
        <item x="124"/>
        <item x="376"/>
        <item x="367"/>
        <item x="205"/>
        <item x="276"/>
        <item x="107"/>
        <item x="310"/>
        <item x="2"/>
        <item x="354"/>
        <item x="206"/>
        <item x="266"/>
        <item x="318"/>
        <item x="335"/>
        <item x="58"/>
        <item x="363"/>
        <item x="140"/>
        <item x="145"/>
        <item x="299"/>
        <item x="322"/>
        <item x="349"/>
        <item x="15"/>
        <item x="291"/>
        <item x="327"/>
        <item x="306"/>
        <item x="83"/>
        <item x="4"/>
        <item x="13"/>
        <item x="244"/>
        <item x="43"/>
        <item x="157"/>
        <item x="44"/>
        <item x="108"/>
        <item x="184"/>
        <item x="379"/>
        <item x="271"/>
        <item x="304"/>
        <item x="215"/>
        <item x="158"/>
        <item x="303"/>
        <item x="378"/>
        <item x="256"/>
        <item x="351"/>
        <item x="344"/>
        <item x="391"/>
        <item x="237"/>
        <item x="371"/>
        <item x="161"/>
        <item x="186"/>
        <item x="217"/>
        <item x="126"/>
        <item x="68"/>
        <item x="48"/>
        <item x="121"/>
        <item x="319"/>
        <item x="339"/>
        <item x="284"/>
        <item x="278"/>
        <item x="64"/>
        <item x="277"/>
        <item x="389"/>
        <item x="27"/>
        <item x="24"/>
        <item x="18"/>
        <item x="232"/>
        <item x="269"/>
        <item x="34"/>
        <item x="138"/>
        <item x="139"/>
        <item x="180"/>
        <item x="263"/>
        <item x="338"/>
        <item x="288"/>
        <item x="50"/>
        <item x="116"/>
        <item x="227"/>
        <item x="63"/>
        <item x="74"/>
        <item x="387"/>
        <item x="385"/>
        <item x="285"/>
        <item x="112"/>
        <item x="0"/>
        <item x="90"/>
        <item x="211"/>
        <item x="380"/>
        <item x="11"/>
        <item x="159"/>
        <item x="156"/>
        <item x="117"/>
        <item x="176"/>
        <item x="178"/>
        <item x="320"/>
        <item x="72"/>
        <item x="272"/>
        <item x="62"/>
        <item x="189"/>
        <item x="368"/>
        <item x="204"/>
        <item x="38"/>
        <item x="131"/>
        <item x="9"/>
        <item x="249"/>
        <item x="88"/>
        <item x="270"/>
        <item x="109"/>
        <item x="355"/>
        <item x="375"/>
        <item x="71"/>
        <item x="314"/>
        <item x="383"/>
        <item x="301"/>
        <item x="384"/>
        <item x="113"/>
        <item x="392"/>
        <item x="14"/>
        <item x="365"/>
        <item x="252"/>
        <item x="348"/>
        <item x="182"/>
        <item x="82"/>
        <item x="381"/>
        <item x="235"/>
        <item x="86"/>
        <item x="393"/>
        <item t="default"/>
      </items>
    </pivotField>
    <pivotField showAll="0"/>
    <pivotField showAll="0"/>
    <pivotField showAll="0"/>
    <pivotField axis="axisRow" showAll="0" sortType="descending">
      <items count="6">
        <item x="3"/>
        <item x="0"/>
        <item x="2"/>
        <item x="1"/>
        <item h="1" x="4"/>
        <item t="default"/>
      </items>
      <autoSortScope>
        <pivotArea dataOnly="0" outline="0" fieldPosition="0">
          <references count="1">
            <reference field="4294967294" count="1" selected="0">
              <x v="2"/>
            </reference>
          </references>
        </pivotArea>
      </autoSortScope>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5">
    <i>
      <x v="2"/>
    </i>
    <i>
      <x v="1"/>
    </i>
    <i>
      <x/>
    </i>
    <i>
      <x v="3"/>
    </i>
    <i t="grand">
      <x/>
    </i>
  </rowItems>
  <colFields count="1">
    <field x="-2"/>
  </colFields>
  <colItems count="4">
    <i>
      <x/>
    </i>
    <i i="1">
      <x v="1"/>
    </i>
    <i i="2">
      <x v="2"/>
    </i>
    <i i="3">
      <x v="3"/>
    </i>
  </colItems>
  <dataFields count="4">
    <dataField name="Sum of Total Sale" fld="5" baseField="0" baseItem="0"/>
    <dataField name="Average Order Value" fld="5" subtotal="average" baseField="10" baseItem="2" numFmtId="1"/>
    <dataField name="Percentage of Total Sales" fld="5" showDataAs="percentOfTotal" baseField="0" baseItem="0" numFmtId="10"/>
    <dataField name="Count of Order ID" fld="11" subtotal="count" baseField="0" baseItem="0"/>
  </dataFields>
  <formats count="3">
    <format dxfId="14">
      <pivotArea collapsedLevelsAreSubtotals="1" fieldPosition="0">
        <references count="2">
          <reference field="4294967294" count="1" selected="0">
            <x v="0"/>
          </reference>
          <reference field="10" count="0"/>
        </references>
      </pivotArea>
    </format>
    <format dxfId="13">
      <pivotArea outline="0" fieldPosition="0">
        <references count="1">
          <reference field="4294967294" count="1">
            <x v="2"/>
          </reference>
        </references>
      </pivotArea>
    </format>
    <format dxfId="1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Year" xr10:uid="{CA41437C-0E5A-4EF1-AAF4-13BFF4A815AF}" sourceName="Sale Year">
  <pivotTables>
    <pivotTable tabId="5" name="PivotTable2"/>
  </pivotTables>
  <data>
    <tabular pivotCacheId="294313603">
      <items count="4">
        <i x="2" s="1"/>
        <i x="1"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79A50EB3-4C6E-43BA-8B61-2F163EBDE0B8}" sourceName="Months (Sale Date)">
  <pivotTables>
    <pivotTable tabId="5" name="PivotTable2"/>
  </pivotTables>
  <data>
    <tabular pivotCacheId="294313603">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91A1F9F-919A-4669-A35D-A469E257F6DA}" sourceName="Product">
  <pivotTables>
    <pivotTable tabId="6" name="PivotTable3"/>
  </pivotTables>
  <data>
    <tabular pivotCacheId="294313603">
      <items count="9">
        <i x="3" s="1"/>
        <i x="5" s="1"/>
        <i x="1" s="1"/>
        <i x="0" s="1"/>
        <i x="4" s="1"/>
        <i x="6" s="1"/>
        <i x="7" s="1"/>
        <i x="2" s="1"/>
        <i x="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Year1" xr10:uid="{C249907F-7F26-4E5A-9341-CF76EC61A4BF}" sourceName="Sale Year">
  <pivotTables>
    <pivotTable tabId="6" name="PivotTable3"/>
  </pivotTables>
  <data>
    <tabular pivotCacheId="294313603">
      <items count="4">
        <i x="2" s="1"/>
        <i x="1" s="1"/>
        <i x="0"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Month" xr10:uid="{0CB474CC-6358-4CAD-9852-BB90B645CEF9}" sourceName="Sale Month">
  <pivotTables>
    <pivotTable tabId="6" name="PivotTable3"/>
  </pivotTables>
  <data>
    <tabular pivotCacheId="294313603">
      <items count="26">
        <i x="3" s="1"/>
        <i x="0" s="1"/>
        <i x="5" s="1"/>
        <i x="13" s="1"/>
        <i x="16" s="1"/>
        <i x="2" s="1"/>
        <i x="7" s="1"/>
        <i x="22" s="1"/>
        <i x="14" s="1"/>
        <i x="4" s="1"/>
        <i x="18" s="1"/>
        <i x="17" s="1"/>
        <i x="24" s="1"/>
        <i x="23" s="1"/>
        <i x="8" s="1"/>
        <i x="1" s="1"/>
        <i x="12" s="1"/>
        <i x="21" s="1"/>
        <i x="9" s="1"/>
        <i x="10" s="1"/>
        <i x="11" s="1"/>
        <i x="15" s="1"/>
        <i x="19" s="1"/>
        <i x="20" s="1"/>
        <i x="6" s="1"/>
        <i x="2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Year" xr10:uid="{2FA09DED-CA85-4418-B000-C19C6FEBC752}" cache="Slicer_Sale_Year" caption="Sale Year" rowHeight="241300"/>
  <slicer name="Months (Sale Date)" xr10:uid="{C1F63DE0-B25F-44BE-B67C-9C7A2D5DE0C4}" cache="Slicer_Months__Sale_Date" caption="Months (Sale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3B23A32-C6DD-4955-898A-87DB5408CE7D}" cache="Slicer_Product" caption="Product" rowHeight="241300"/>
  <slicer name="Sale Year 1" xr10:uid="{5D2CC4C2-A910-4577-9489-E8AE484376EA}" cache="Slicer_Sale_Year1" caption="Sale Year" rowHeight="241300"/>
  <slicer name="Sale Month" xr10:uid="{C87FEC27-2C18-4A0D-BC5B-A79A7C0C3BD0}" cache="Slicer_Sale_Month" caption="Sale 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6EB0AC-873F-43F8-9449-DE17E75FFEE4}" name="Exception_Table" displayName="Exception_Table" ref="A1:N551" totalsRowShown="0" headerRowDxfId="11">
  <autoFilter ref="A1:N551" xr:uid="{2C6EB0AC-873F-43F8-9449-DE17E75FFEE4}"/>
  <tableColumns count="14">
    <tableColumn id="1" xr3:uid="{EA469DEA-A6D5-4CE8-B3CC-E2F368D04311}" name="Customer Name"/>
    <tableColumn id="2" xr3:uid="{A30280C8-470E-4677-AA1E-6EF2513EF724}" name="State"/>
    <tableColumn id="3" xr3:uid="{6E81C669-DC01-4C84-813B-DAAB1993A0E6}" name="Product"/>
    <tableColumn id="4" xr3:uid="{7F28D6BF-2272-45F2-ABE0-034657B599A8}" name="Units Sold"/>
    <tableColumn id="5" xr3:uid="{23B0B8EF-E049-4F83-8FA7-979C6068D3C4}" name="Unit Price"/>
    <tableColumn id="6" xr3:uid="{1CBC674B-C353-4635-B7A5-4F876BB27777}" name="Total Sale"/>
    <tableColumn id="7" xr3:uid="{D4E30368-9913-4A9C-82B3-8652F9002184}" name="Sale Date" dataDxfId="10"/>
    <tableColumn id="8" xr3:uid="{6F4B6628-7DB1-4A70-9E83-761BE4AE4566}" name="Order ID"/>
    <tableColumn id="9" xr3:uid="{998F5F33-5377-4221-9E02-B8AB80899149}" name="Price Validation">
      <calculatedColumnFormula>IF(E2=0,"Check Price","OK")</calculatedColumnFormula>
    </tableColumn>
    <tableColumn id="10" xr3:uid="{40FAC312-C517-4070-BD76-6F6EDC727175}" name="Revenue Validation">
      <calculatedColumnFormula>IF(F2=0,"Zero Sale","OK")</calculatedColumnFormula>
    </tableColumn>
    <tableColumn id="11" xr3:uid="{767D5BB9-DAD9-49F0-9E7E-B759C7FF580F}" name="Order ID Validation">
      <calculatedColumnFormula>IF(COUNTIF($H:$H,H2)&gt;1,"Duplicate","Unique")</calculatedColumnFormula>
    </tableColumn>
    <tableColumn id="12" xr3:uid="{06D98087-5AFD-41BE-A6CC-73A3A3BBB943}" name="Date Check">
      <calculatedColumnFormula>IF(G2="","Missing Date","OK")</calculatedColumnFormula>
    </tableColumn>
    <tableColumn id="13" xr3:uid="{AF813400-9438-4096-BDEB-463BFDADDCAD}" name="Record Status">
      <calculatedColumnFormula>IF(COUNTIF(I2:J2,"&lt;&gt;OK")&gt;0,"EXCEPTION","CLEAN")</calculatedColumnFormula>
    </tableColumn>
    <tableColumn id="14" xr3:uid="{F2F4F5E9-C3E2-4904-A7D6-E2ACFC90B59B}" name="Exception Reason" dataDxfId="9">
      <calculatedColumnFormula>_xlfn.TEXTJOIN(", ",TRUE,
IF(I2&lt;&gt;"OK","Price Issue",""),
IF(J2&lt;&gt;"OK","Zero Sale",""),
IF(K2&lt;&gt;"Unique","Duplicate Order",""),
IF(L2&lt;&gt;"OK","Missing Date","")
)</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A32DD-4954-4A26-BED5-CC39A1676995}">
  <dimension ref="A1:I551"/>
  <sheetViews>
    <sheetView workbookViewId="0">
      <selection activeCell="I8" sqref="I8"/>
    </sheetView>
  </sheetViews>
  <sheetFormatPr defaultRowHeight="14.5" x14ac:dyDescent="0.35"/>
  <cols>
    <col min="1" max="1" width="20.08984375" bestFit="1" customWidth="1"/>
    <col min="2" max="2" width="10" bestFit="1" customWidth="1"/>
    <col min="3" max="3" width="12.36328125" bestFit="1" customWidth="1"/>
    <col min="4" max="4" width="9.08984375" bestFit="1" customWidth="1"/>
    <col min="5" max="5" width="9.81640625" bestFit="1" customWidth="1"/>
    <col min="6" max="6" width="11.81640625" bestFit="1" customWidth="1"/>
    <col min="7" max="7" width="10.08984375" bestFit="1" customWidth="1"/>
    <col min="8" max="8" width="12.26953125" bestFit="1" customWidth="1"/>
    <col min="9" max="9" width="36.81640625" bestFit="1" customWidth="1"/>
  </cols>
  <sheetData>
    <row r="1" spans="1:9" x14ac:dyDescent="0.35">
      <c r="A1" t="s">
        <v>0</v>
      </c>
      <c r="B1" t="s">
        <v>1</v>
      </c>
      <c r="C1" t="s">
        <v>2</v>
      </c>
      <c r="D1" t="s">
        <v>3</v>
      </c>
      <c r="E1" t="s">
        <v>4</v>
      </c>
      <c r="F1" t="s">
        <v>5</v>
      </c>
      <c r="G1" t="s">
        <v>6</v>
      </c>
      <c r="H1" t="s">
        <v>7</v>
      </c>
      <c r="I1" t="s">
        <v>8</v>
      </c>
    </row>
    <row r="2" spans="1:9" x14ac:dyDescent="0.35">
      <c r="B2" t="s">
        <v>1061</v>
      </c>
      <c r="C2" t="s">
        <v>1062</v>
      </c>
      <c r="G2" s="1">
        <v>45774</v>
      </c>
      <c r="H2" t="s">
        <v>9</v>
      </c>
    </row>
    <row r="3" spans="1:9" x14ac:dyDescent="0.35">
      <c r="A3" t="s">
        <v>10</v>
      </c>
      <c r="B3" t="s">
        <v>11</v>
      </c>
      <c r="C3" t="s">
        <v>12</v>
      </c>
      <c r="E3">
        <v>267992.94</v>
      </c>
      <c r="G3" s="1">
        <v>45366</v>
      </c>
      <c r="H3" t="s">
        <v>13</v>
      </c>
      <c r="I3" t="s">
        <v>14</v>
      </c>
    </row>
    <row r="4" spans="1:9" x14ac:dyDescent="0.35">
      <c r="A4" t="s">
        <v>15</v>
      </c>
      <c r="B4" t="s">
        <v>16</v>
      </c>
      <c r="C4" t="s">
        <v>17</v>
      </c>
      <c r="E4">
        <v>42364.41</v>
      </c>
      <c r="G4" s="1">
        <v>45636</v>
      </c>
      <c r="I4" t="s">
        <v>18</v>
      </c>
    </row>
    <row r="5" spans="1:9" x14ac:dyDescent="0.35">
      <c r="A5" t="s">
        <v>19</v>
      </c>
      <c r="B5" t="s">
        <v>20</v>
      </c>
      <c r="C5" t="s">
        <v>17</v>
      </c>
      <c r="E5">
        <v>279444.94</v>
      </c>
      <c r="G5" s="1">
        <v>45387</v>
      </c>
      <c r="I5" t="s">
        <v>21</v>
      </c>
    </row>
    <row r="6" spans="1:9" x14ac:dyDescent="0.35">
      <c r="A6" t="s">
        <v>22</v>
      </c>
      <c r="B6" t="s">
        <v>20</v>
      </c>
      <c r="C6" t="s">
        <v>23</v>
      </c>
      <c r="E6">
        <v>95899.74</v>
      </c>
      <c r="G6" s="1">
        <v>45669</v>
      </c>
      <c r="I6" t="s">
        <v>24</v>
      </c>
    </row>
    <row r="7" spans="1:9" x14ac:dyDescent="0.35">
      <c r="A7" t="s">
        <v>25</v>
      </c>
      <c r="B7" t="s">
        <v>26</v>
      </c>
      <c r="C7" t="s">
        <v>27</v>
      </c>
      <c r="E7">
        <v>118189.9</v>
      </c>
      <c r="G7" s="1">
        <v>45168</v>
      </c>
      <c r="H7" t="s">
        <v>28</v>
      </c>
      <c r="I7" t="s">
        <v>29</v>
      </c>
    </row>
    <row r="8" spans="1:9" x14ac:dyDescent="0.35">
      <c r="A8" t="s">
        <v>30</v>
      </c>
      <c r="B8" t="s">
        <v>31</v>
      </c>
      <c r="C8" t="s">
        <v>23</v>
      </c>
      <c r="D8">
        <v>36</v>
      </c>
      <c r="E8">
        <v>185141.9</v>
      </c>
      <c r="F8">
        <v>6665108.4000000004</v>
      </c>
      <c r="G8" s="1">
        <v>45545</v>
      </c>
      <c r="H8" t="s">
        <v>13</v>
      </c>
      <c r="I8" t="s">
        <v>32</v>
      </c>
    </row>
    <row r="9" spans="1:9" x14ac:dyDescent="0.35">
      <c r="A9" t="s">
        <v>33</v>
      </c>
      <c r="B9" t="s">
        <v>34</v>
      </c>
      <c r="C9" t="s">
        <v>17</v>
      </c>
      <c r="E9">
        <v>252859.28</v>
      </c>
      <c r="G9" s="1">
        <v>45539</v>
      </c>
      <c r="H9" t="s">
        <v>9</v>
      </c>
      <c r="I9" t="s">
        <v>35</v>
      </c>
    </row>
    <row r="10" spans="1:9" x14ac:dyDescent="0.35">
      <c r="A10" t="s">
        <v>36</v>
      </c>
      <c r="B10" t="s">
        <v>37</v>
      </c>
      <c r="C10" t="s">
        <v>1063</v>
      </c>
      <c r="E10">
        <v>178320.53</v>
      </c>
      <c r="G10" s="1">
        <v>45343</v>
      </c>
      <c r="H10" t="s">
        <v>13</v>
      </c>
      <c r="I10" t="s">
        <v>38</v>
      </c>
    </row>
    <row r="11" spans="1:9" x14ac:dyDescent="0.35">
      <c r="A11" t="s">
        <v>39</v>
      </c>
      <c r="B11" t="s">
        <v>1064</v>
      </c>
      <c r="C11" t="s">
        <v>23</v>
      </c>
      <c r="E11">
        <v>152440.84</v>
      </c>
      <c r="G11" s="1">
        <v>45810</v>
      </c>
      <c r="H11" t="s">
        <v>28</v>
      </c>
      <c r="I11" t="s">
        <v>40</v>
      </c>
    </row>
    <row r="12" spans="1:9" x14ac:dyDescent="0.35">
      <c r="A12" t="s">
        <v>41</v>
      </c>
      <c r="B12" t="s">
        <v>42</v>
      </c>
      <c r="C12" t="s">
        <v>17</v>
      </c>
      <c r="G12" s="1">
        <v>45350</v>
      </c>
      <c r="H12" t="s">
        <v>28</v>
      </c>
      <c r="I12" t="s">
        <v>43</v>
      </c>
    </row>
    <row r="13" spans="1:9" x14ac:dyDescent="0.35">
      <c r="A13" t="s">
        <v>44</v>
      </c>
      <c r="B13" t="s">
        <v>45</v>
      </c>
      <c r="C13" t="s">
        <v>46</v>
      </c>
      <c r="D13">
        <v>3</v>
      </c>
      <c r="E13">
        <v>153159.37</v>
      </c>
      <c r="F13">
        <v>459478.11</v>
      </c>
      <c r="G13" s="1">
        <v>45779</v>
      </c>
      <c r="H13" t="s">
        <v>47</v>
      </c>
      <c r="I13" t="s">
        <v>48</v>
      </c>
    </row>
    <row r="14" spans="1:9" x14ac:dyDescent="0.35">
      <c r="A14" t="s">
        <v>49</v>
      </c>
      <c r="B14" t="s">
        <v>11</v>
      </c>
      <c r="C14" t="s">
        <v>23</v>
      </c>
      <c r="D14">
        <v>43</v>
      </c>
      <c r="E14">
        <v>147209.07</v>
      </c>
      <c r="F14">
        <v>6329990.0099999998</v>
      </c>
      <c r="G14" s="1">
        <v>45240</v>
      </c>
      <c r="H14" t="s">
        <v>13</v>
      </c>
      <c r="I14" t="s">
        <v>50</v>
      </c>
    </row>
    <row r="15" spans="1:9" x14ac:dyDescent="0.35">
      <c r="B15" t="s">
        <v>37</v>
      </c>
      <c r="C15" t="s">
        <v>27</v>
      </c>
      <c r="E15">
        <v>169095.82</v>
      </c>
      <c r="G15" s="1">
        <v>45670</v>
      </c>
      <c r="I15" t="s">
        <v>51</v>
      </c>
    </row>
    <row r="16" spans="1:9" x14ac:dyDescent="0.35">
      <c r="A16" t="s">
        <v>52</v>
      </c>
      <c r="B16" t="s">
        <v>53</v>
      </c>
      <c r="C16" t="s">
        <v>23</v>
      </c>
      <c r="D16">
        <v>27</v>
      </c>
      <c r="E16">
        <v>142730.32999999999</v>
      </c>
      <c r="F16">
        <v>3853718.91</v>
      </c>
      <c r="G16" s="1">
        <v>45669</v>
      </c>
      <c r="H16" t="s">
        <v>28</v>
      </c>
    </row>
    <row r="17" spans="1:9" x14ac:dyDescent="0.35">
      <c r="A17" t="s">
        <v>54</v>
      </c>
      <c r="B17" t="s">
        <v>20</v>
      </c>
      <c r="C17" t="s">
        <v>55</v>
      </c>
      <c r="E17">
        <v>5482.77</v>
      </c>
      <c r="G17" s="1">
        <v>45838</v>
      </c>
      <c r="H17" t="s">
        <v>28</v>
      </c>
      <c r="I17" t="s">
        <v>56</v>
      </c>
    </row>
    <row r="18" spans="1:9" x14ac:dyDescent="0.35">
      <c r="A18" t="s">
        <v>57</v>
      </c>
      <c r="B18" t="s">
        <v>58</v>
      </c>
      <c r="C18" t="s">
        <v>1065</v>
      </c>
      <c r="E18">
        <v>99706.26</v>
      </c>
      <c r="G18" s="1">
        <v>45661</v>
      </c>
      <c r="H18" t="s">
        <v>47</v>
      </c>
      <c r="I18" t="s">
        <v>59</v>
      </c>
    </row>
    <row r="19" spans="1:9" x14ac:dyDescent="0.35">
      <c r="A19" t="s">
        <v>60</v>
      </c>
      <c r="B19" t="s">
        <v>61</v>
      </c>
      <c r="C19" t="s">
        <v>46</v>
      </c>
      <c r="D19">
        <v>28</v>
      </c>
      <c r="E19">
        <v>33326.57</v>
      </c>
      <c r="F19">
        <v>933143.96</v>
      </c>
      <c r="G19" s="1">
        <v>45613</v>
      </c>
      <c r="I19" t="s">
        <v>62</v>
      </c>
    </row>
    <row r="20" spans="1:9" x14ac:dyDescent="0.35">
      <c r="A20" t="s">
        <v>63</v>
      </c>
      <c r="B20" t="s">
        <v>1066</v>
      </c>
      <c r="C20" t="s">
        <v>12</v>
      </c>
      <c r="D20">
        <v>43</v>
      </c>
      <c r="E20">
        <v>125253.81</v>
      </c>
      <c r="F20">
        <v>5385913.8300000001</v>
      </c>
      <c r="G20" s="1">
        <v>45253</v>
      </c>
      <c r="H20" t="s">
        <v>28</v>
      </c>
      <c r="I20" t="s">
        <v>64</v>
      </c>
    </row>
    <row r="21" spans="1:9" x14ac:dyDescent="0.35">
      <c r="A21" t="s">
        <v>65</v>
      </c>
      <c r="B21" t="s">
        <v>34</v>
      </c>
      <c r="C21" t="s">
        <v>12</v>
      </c>
      <c r="D21">
        <v>77</v>
      </c>
      <c r="E21">
        <v>92649.51</v>
      </c>
      <c r="F21">
        <v>7134012.2699999996</v>
      </c>
      <c r="G21" s="1">
        <v>45734</v>
      </c>
      <c r="H21" t="s">
        <v>9</v>
      </c>
      <c r="I21" t="s">
        <v>66</v>
      </c>
    </row>
    <row r="22" spans="1:9" x14ac:dyDescent="0.35">
      <c r="A22" t="s">
        <v>67</v>
      </c>
      <c r="B22" t="s">
        <v>53</v>
      </c>
      <c r="C22" t="s">
        <v>27</v>
      </c>
      <c r="D22">
        <v>36</v>
      </c>
      <c r="G22" s="1">
        <v>45398</v>
      </c>
      <c r="I22" t="s">
        <v>68</v>
      </c>
    </row>
    <row r="23" spans="1:9" x14ac:dyDescent="0.35">
      <c r="A23" t="s">
        <v>69</v>
      </c>
      <c r="B23" t="s">
        <v>34</v>
      </c>
      <c r="C23" t="s">
        <v>70</v>
      </c>
      <c r="E23">
        <v>269680.75</v>
      </c>
      <c r="G23" s="1">
        <v>45513</v>
      </c>
      <c r="H23" t="s">
        <v>13</v>
      </c>
      <c r="I23" t="s">
        <v>71</v>
      </c>
    </row>
    <row r="24" spans="1:9" x14ac:dyDescent="0.35">
      <c r="A24" t="s">
        <v>1067</v>
      </c>
      <c r="B24" t="s">
        <v>42</v>
      </c>
      <c r="C24" t="s">
        <v>12</v>
      </c>
      <c r="D24">
        <v>33</v>
      </c>
      <c r="E24">
        <v>261693.68</v>
      </c>
      <c r="F24">
        <v>8635891.4399999995</v>
      </c>
      <c r="G24" s="1">
        <v>45292</v>
      </c>
      <c r="H24" t="s">
        <v>47</v>
      </c>
      <c r="I24" t="s">
        <v>72</v>
      </c>
    </row>
    <row r="25" spans="1:9" x14ac:dyDescent="0.35">
      <c r="A25" t="s">
        <v>73</v>
      </c>
      <c r="B25" t="s">
        <v>20</v>
      </c>
      <c r="C25" t="s">
        <v>27</v>
      </c>
      <c r="E25">
        <v>188963.51</v>
      </c>
      <c r="G25" s="1">
        <v>45212</v>
      </c>
      <c r="H25" t="s">
        <v>9</v>
      </c>
      <c r="I25" t="s">
        <v>74</v>
      </c>
    </row>
    <row r="26" spans="1:9" x14ac:dyDescent="0.35">
      <c r="A26" t="s">
        <v>75</v>
      </c>
      <c r="B26" t="s">
        <v>76</v>
      </c>
      <c r="C26" t="s">
        <v>1068</v>
      </c>
      <c r="D26">
        <v>4</v>
      </c>
      <c r="E26">
        <v>179274.43</v>
      </c>
      <c r="F26">
        <v>717097.72</v>
      </c>
      <c r="G26" s="1">
        <v>45274</v>
      </c>
      <c r="H26" t="s">
        <v>9</v>
      </c>
      <c r="I26" t="s">
        <v>77</v>
      </c>
    </row>
    <row r="27" spans="1:9" x14ac:dyDescent="0.35">
      <c r="A27" t="s">
        <v>78</v>
      </c>
      <c r="B27" t="s">
        <v>79</v>
      </c>
      <c r="C27" t="s">
        <v>70</v>
      </c>
      <c r="E27">
        <v>80026.37</v>
      </c>
      <c r="G27" s="1">
        <v>45733</v>
      </c>
      <c r="H27" t="s">
        <v>13</v>
      </c>
      <c r="I27" t="s">
        <v>80</v>
      </c>
    </row>
    <row r="28" spans="1:9" x14ac:dyDescent="0.35">
      <c r="B28" t="s">
        <v>16</v>
      </c>
      <c r="C28" t="s">
        <v>70</v>
      </c>
      <c r="E28">
        <v>196849.5</v>
      </c>
      <c r="G28" s="1">
        <v>45225</v>
      </c>
      <c r="H28" t="s">
        <v>47</v>
      </c>
      <c r="I28" t="s">
        <v>81</v>
      </c>
    </row>
    <row r="29" spans="1:9" x14ac:dyDescent="0.35">
      <c r="A29" t="s">
        <v>82</v>
      </c>
      <c r="B29" t="s">
        <v>1066</v>
      </c>
      <c r="C29" t="s">
        <v>55</v>
      </c>
      <c r="D29">
        <v>42</v>
      </c>
      <c r="E29">
        <v>291631.03000000003</v>
      </c>
      <c r="F29">
        <v>12248503.26</v>
      </c>
      <c r="G29" s="1">
        <v>45301</v>
      </c>
      <c r="H29" t="s">
        <v>28</v>
      </c>
      <c r="I29" t="s">
        <v>83</v>
      </c>
    </row>
    <row r="30" spans="1:9" x14ac:dyDescent="0.35">
      <c r="A30" t="s">
        <v>84</v>
      </c>
      <c r="B30" t="s">
        <v>85</v>
      </c>
      <c r="C30" t="s">
        <v>17</v>
      </c>
      <c r="E30">
        <v>173753.06</v>
      </c>
      <c r="G30" s="1">
        <v>45731</v>
      </c>
      <c r="H30" t="s">
        <v>47</v>
      </c>
    </row>
    <row r="31" spans="1:9" x14ac:dyDescent="0.35">
      <c r="A31" t="s">
        <v>86</v>
      </c>
      <c r="B31" t="s">
        <v>42</v>
      </c>
      <c r="C31" t="s">
        <v>70</v>
      </c>
      <c r="D31">
        <v>7</v>
      </c>
      <c r="E31">
        <v>68649.2</v>
      </c>
      <c r="F31">
        <v>480544.4</v>
      </c>
      <c r="G31" s="1">
        <v>45501</v>
      </c>
      <c r="H31" t="s">
        <v>28</v>
      </c>
      <c r="I31" t="s">
        <v>87</v>
      </c>
    </row>
    <row r="32" spans="1:9" x14ac:dyDescent="0.35">
      <c r="A32" t="s">
        <v>88</v>
      </c>
      <c r="B32" t="s">
        <v>89</v>
      </c>
      <c r="C32" t="s">
        <v>90</v>
      </c>
      <c r="G32" s="1">
        <v>45138</v>
      </c>
      <c r="H32" t="s">
        <v>13</v>
      </c>
      <c r="I32" t="s">
        <v>91</v>
      </c>
    </row>
    <row r="33" spans="1:9" x14ac:dyDescent="0.35">
      <c r="A33" t="s">
        <v>92</v>
      </c>
      <c r="B33" t="s">
        <v>16</v>
      </c>
      <c r="C33" t="s">
        <v>27</v>
      </c>
      <c r="D33">
        <v>68</v>
      </c>
      <c r="E33">
        <v>15880.87</v>
      </c>
      <c r="F33">
        <v>1079899.1599999999</v>
      </c>
      <c r="G33" s="1">
        <v>45398</v>
      </c>
      <c r="H33" t="s">
        <v>13</v>
      </c>
      <c r="I33" t="s">
        <v>93</v>
      </c>
    </row>
    <row r="34" spans="1:9" x14ac:dyDescent="0.35">
      <c r="A34" t="s">
        <v>94</v>
      </c>
      <c r="B34" t="s">
        <v>26</v>
      </c>
      <c r="C34" t="s">
        <v>1069</v>
      </c>
      <c r="D34">
        <v>96</v>
      </c>
      <c r="E34">
        <v>144394.41</v>
      </c>
      <c r="F34">
        <v>13861863.359999999</v>
      </c>
      <c r="G34" s="1">
        <v>45548</v>
      </c>
      <c r="H34" t="s">
        <v>9</v>
      </c>
      <c r="I34" t="s">
        <v>95</v>
      </c>
    </row>
    <row r="35" spans="1:9" x14ac:dyDescent="0.35">
      <c r="A35" t="s">
        <v>96</v>
      </c>
      <c r="B35" t="s">
        <v>53</v>
      </c>
      <c r="C35" t="s">
        <v>70</v>
      </c>
      <c r="E35">
        <v>157507.57999999999</v>
      </c>
      <c r="G35" s="1">
        <v>45562</v>
      </c>
      <c r="H35" t="s">
        <v>9</v>
      </c>
      <c r="I35" t="s">
        <v>97</v>
      </c>
    </row>
    <row r="36" spans="1:9" x14ac:dyDescent="0.35">
      <c r="A36" t="s">
        <v>98</v>
      </c>
      <c r="B36" t="s">
        <v>89</v>
      </c>
      <c r="C36" t="s">
        <v>90</v>
      </c>
      <c r="E36">
        <v>216494.26</v>
      </c>
      <c r="G36" s="1">
        <v>45404</v>
      </c>
      <c r="H36" t="s">
        <v>9</v>
      </c>
      <c r="I36" t="s">
        <v>99</v>
      </c>
    </row>
    <row r="37" spans="1:9" x14ac:dyDescent="0.35">
      <c r="A37" t="s">
        <v>100</v>
      </c>
      <c r="B37" t="s">
        <v>31</v>
      </c>
      <c r="C37" t="s">
        <v>70</v>
      </c>
      <c r="E37">
        <v>232494.54</v>
      </c>
      <c r="G37" s="1">
        <v>45481</v>
      </c>
      <c r="H37" t="s">
        <v>13</v>
      </c>
      <c r="I37" t="s">
        <v>101</v>
      </c>
    </row>
    <row r="38" spans="1:9" x14ac:dyDescent="0.35">
      <c r="A38" t="s">
        <v>102</v>
      </c>
      <c r="B38" t="s">
        <v>1070</v>
      </c>
      <c r="C38" t="s">
        <v>17</v>
      </c>
      <c r="E38">
        <v>114367.01</v>
      </c>
      <c r="G38" s="1">
        <v>45742</v>
      </c>
      <c r="H38" t="s">
        <v>28</v>
      </c>
      <c r="I38" t="s">
        <v>103</v>
      </c>
    </row>
    <row r="39" spans="1:9" x14ac:dyDescent="0.35">
      <c r="A39" t="s">
        <v>104</v>
      </c>
      <c r="B39" t="s">
        <v>105</v>
      </c>
      <c r="C39" t="s">
        <v>90</v>
      </c>
      <c r="D39">
        <v>65</v>
      </c>
      <c r="E39">
        <v>246587.56</v>
      </c>
      <c r="F39">
        <v>16028191.4</v>
      </c>
      <c r="G39" s="1">
        <v>45546</v>
      </c>
      <c r="H39" t="s">
        <v>13</v>
      </c>
      <c r="I39" t="s">
        <v>106</v>
      </c>
    </row>
    <row r="40" spans="1:9" x14ac:dyDescent="0.35">
      <c r="A40" t="s">
        <v>107</v>
      </c>
      <c r="B40" t="s">
        <v>31</v>
      </c>
      <c r="C40" t="s">
        <v>55</v>
      </c>
      <c r="D40">
        <v>79</v>
      </c>
      <c r="E40">
        <v>73037.87</v>
      </c>
      <c r="F40">
        <v>5769991.7300000004</v>
      </c>
      <c r="G40" s="1">
        <v>45218</v>
      </c>
      <c r="H40" t="s">
        <v>13</v>
      </c>
      <c r="I40" t="s">
        <v>108</v>
      </c>
    </row>
    <row r="41" spans="1:9" x14ac:dyDescent="0.35">
      <c r="B41" t="s">
        <v>109</v>
      </c>
      <c r="C41" t="s">
        <v>23</v>
      </c>
      <c r="E41">
        <v>171984.8</v>
      </c>
      <c r="G41" s="1">
        <v>45593</v>
      </c>
      <c r="H41" t="s">
        <v>9</v>
      </c>
      <c r="I41" t="s">
        <v>110</v>
      </c>
    </row>
    <row r="42" spans="1:9" x14ac:dyDescent="0.35">
      <c r="A42" t="s">
        <v>111</v>
      </c>
      <c r="B42" t="s">
        <v>109</v>
      </c>
      <c r="C42" t="s">
        <v>1069</v>
      </c>
      <c r="G42" s="1">
        <v>45804</v>
      </c>
      <c r="H42" t="s">
        <v>47</v>
      </c>
      <c r="I42" t="s">
        <v>112</v>
      </c>
    </row>
    <row r="43" spans="1:9" x14ac:dyDescent="0.35">
      <c r="A43" t="s">
        <v>113</v>
      </c>
      <c r="B43" t="s">
        <v>61</v>
      </c>
      <c r="C43" t="s">
        <v>70</v>
      </c>
      <c r="E43">
        <v>210306.01</v>
      </c>
      <c r="G43" s="1">
        <v>45184</v>
      </c>
      <c r="H43" t="s">
        <v>9</v>
      </c>
      <c r="I43" t="s">
        <v>114</v>
      </c>
    </row>
    <row r="44" spans="1:9" x14ac:dyDescent="0.35">
      <c r="A44" t="s">
        <v>115</v>
      </c>
      <c r="B44" t="s">
        <v>16</v>
      </c>
      <c r="C44" t="s">
        <v>27</v>
      </c>
      <c r="D44">
        <v>4</v>
      </c>
      <c r="E44">
        <v>57639.91</v>
      </c>
      <c r="F44">
        <v>230559.64</v>
      </c>
      <c r="G44" s="1">
        <v>45169</v>
      </c>
      <c r="H44" t="s">
        <v>47</v>
      </c>
    </row>
    <row r="45" spans="1:9" x14ac:dyDescent="0.35">
      <c r="A45" t="s">
        <v>116</v>
      </c>
      <c r="B45" t="s">
        <v>45</v>
      </c>
      <c r="C45" t="s">
        <v>17</v>
      </c>
      <c r="E45">
        <v>132591.04999999999</v>
      </c>
      <c r="G45" s="1">
        <v>45358</v>
      </c>
      <c r="H45" t="s">
        <v>28</v>
      </c>
      <c r="I45" t="s">
        <v>117</v>
      </c>
    </row>
    <row r="46" spans="1:9" x14ac:dyDescent="0.35">
      <c r="A46" t="s">
        <v>118</v>
      </c>
      <c r="B46" t="s">
        <v>76</v>
      </c>
      <c r="C46" t="s">
        <v>27</v>
      </c>
      <c r="E46">
        <v>125924.7</v>
      </c>
      <c r="G46" s="1">
        <v>45427</v>
      </c>
      <c r="H46" t="s">
        <v>28</v>
      </c>
      <c r="I46" t="s">
        <v>119</v>
      </c>
    </row>
    <row r="47" spans="1:9" x14ac:dyDescent="0.35">
      <c r="A47" t="s">
        <v>120</v>
      </c>
      <c r="B47" t="s">
        <v>1071</v>
      </c>
      <c r="C47" t="s">
        <v>23</v>
      </c>
      <c r="E47">
        <v>124181.55</v>
      </c>
      <c r="G47" s="1">
        <v>45674</v>
      </c>
      <c r="I47" t="s">
        <v>121</v>
      </c>
    </row>
    <row r="48" spans="1:9" x14ac:dyDescent="0.35">
      <c r="A48" t="s">
        <v>122</v>
      </c>
      <c r="B48" t="s">
        <v>31</v>
      </c>
      <c r="C48" t="s">
        <v>70</v>
      </c>
      <c r="E48">
        <v>61565.56</v>
      </c>
      <c r="G48" s="1">
        <v>45676</v>
      </c>
      <c r="I48" t="s">
        <v>123</v>
      </c>
    </row>
    <row r="49" spans="1:9" x14ac:dyDescent="0.35">
      <c r="A49" t="s">
        <v>124</v>
      </c>
      <c r="B49" t="s">
        <v>105</v>
      </c>
      <c r="C49" t="s">
        <v>17</v>
      </c>
      <c r="D49">
        <v>10</v>
      </c>
      <c r="E49">
        <v>150794.94</v>
      </c>
      <c r="F49">
        <v>1507949.4</v>
      </c>
      <c r="G49" s="1">
        <v>45489</v>
      </c>
      <c r="I49" t="s">
        <v>125</v>
      </c>
    </row>
    <row r="50" spans="1:9" x14ac:dyDescent="0.35">
      <c r="A50" t="s">
        <v>126</v>
      </c>
      <c r="B50" t="s">
        <v>37</v>
      </c>
      <c r="C50" t="s">
        <v>1072</v>
      </c>
      <c r="E50">
        <v>183637.68</v>
      </c>
      <c r="G50" s="1">
        <v>45526</v>
      </c>
      <c r="H50" t="s">
        <v>28</v>
      </c>
      <c r="I50" t="s">
        <v>127</v>
      </c>
    </row>
    <row r="51" spans="1:9" x14ac:dyDescent="0.35">
      <c r="A51" t="s">
        <v>128</v>
      </c>
      <c r="B51" t="s">
        <v>34</v>
      </c>
      <c r="C51" t="s">
        <v>70</v>
      </c>
      <c r="D51">
        <v>19</v>
      </c>
      <c r="E51">
        <v>141745.84</v>
      </c>
      <c r="F51">
        <v>2693170.96</v>
      </c>
      <c r="G51" s="1">
        <v>45437</v>
      </c>
      <c r="H51" t="s">
        <v>9</v>
      </c>
      <c r="I51" t="s">
        <v>129</v>
      </c>
    </row>
    <row r="52" spans="1:9" x14ac:dyDescent="0.35">
      <c r="A52" t="s">
        <v>130</v>
      </c>
      <c r="B52" t="s">
        <v>131</v>
      </c>
      <c r="C52" t="s">
        <v>55</v>
      </c>
      <c r="G52" s="1">
        <v>45715</v>
      </c>
      <c r="H52" t="s">
        <v>9</v>
      </c>
      <c r="I52" t="s">
        <v>132</v>
      </c>
    </row>
    <row r="53" spans="1:9" x14ac:dyDescent="0.35">
      <c r="A53" t="s">
        <v>133</v>
      </c>
      <c r="B53" t="s">
        <v>61</v>
      </c>
      <c r="C53" t="s">
        <v>70</v>
      </c>
      <c r="E53">
        <v>254588.91</v>
      </c>
      <c r="G53" s="1">
        <v>45436</v>
      </c>
      <c r="H53" t="s">
        <v>9</v>
      </c>
      <c r="I53" t="s">
        <v>134</v>
      </c>
    </row>
    <row r="54" spans="1:9" x14ac:dyDescent="0.35">
      <c r="B54" t="s">
        <v>109</v>
      </c>
      <c r="C54" t="s">
        <v>12</v>
      </c>
      <c r="E54">
        <v>218356.93</v>
      </c>
      <c r="G54" s="1">
        <v>45757</v>
      </c>
      <c r="H54" t="s">
        <v>13</v>
      </c>
      <c r="I54" t="s">
        <v>135</v>
      </c>
    </row>
    <row r="55" spans="1:9" x14ac:dyDescent="0.35">
      <c r="A55" t="s">
        <v>136</v>
      </c>
      <c r="B55" t="s">
        <v>79</v>
      </c>
      <c r="C55" t="s">
        <v>17</v>
      </c>
      <c r="E55">
        <v>211879.67999999999</v>
      </c>
      <c r="G55" s="1">
        <v>45564</v>
      </c>
      <c r="I55" t="s">
        <v>137</v>
      </c>
    </row>
    <row r="56" spans="1:9" x14ac:dyDescent="0.35">
      <c r="A56" t="s">
        <v>138</v>
      </c>
      <c r="B56" t="s">
        <v>1073</v>
      </c>
      <c r="C56" t="s">
        <v>12</v>
      </c>
      <c r="E56">
        <v>155845.62</v>
      </c>
      <c r="G56" s="1">
        <v>45175</v>
      </c>
      <c r="H56" t="s">
        <v>9</v>
      </c>
      <c r="I56" t="s">
        <v>139</v>
      </c>
    </row>
    <row r="57" spans="1:9" x14ac:dyDescent="0.35">
      <c r="A57" t="s">
        <v>140</v>
      </c>
      <c r="B57" t="s">
        <v>37</v>
      </c>
      <c r="C57" t="s">
        <v>90</v>
      </c>
      <c r="E57">
        <v>168485.59</v>
      </c>
      <c r="G57" s="1">
        <v>45215</v>
      </c>
      <c r="I57" t="s">
        <v>141</v>
      </c>
    </row>
    <row r="58" spans="1:9" x14ac:dyDescent="0.35">
      <c r="A58" t="s">
        <v>142</v>
      </c>
      <c r="B58" t="s">
        <v>45</v>
      </c>
      <c r="C58" t="s">
        <v>1069</v>
      </c>
      <c r="E58">
        <v>299437.8</v>
      </c>
      <c r="G58" s="1">
        <v>45364</v>
      </c>
    </row>
    <row r="59" spans="1:9" x14ac:dyDescent="0.35">
      <c r="A59" t="s">
        <v>143</v>
      </c>
      <c r="B59" t="s">
        <v>20</v>
      </c>
      <c r="C59" t="s">
        <v>90</v>
      </c>
      <c r="E59">
        <v>143772.10999999999</v>
      </c>
      <c r="G59" s="1">
        <v>45616</v>
      </c>
      <c r="H59" t="s">
        <v>13</v>
      </c>
      <c r="I59" s="2" t="s">
        <v>144</v>
      </c>
    </row>
    <row r="60" spans="1:9" x14ac:dyDescent="0.35">
      <c r="A60" t="s">
        <v>145</v>
      </c>
      <c r="B60" t="s">
        <v>131</v>
      </c>
      <c r="C60" t="s">
        <v>46</v>
      </c>
      <c r="E60">
        <v>113359.02</v>
      </c>
      <c r="G60" s="1">
        <v>45175</v>
      </c>
      <c r="H60" t="s">
        <v>28</v>
      </c>
      <c r="I60" t="s">
        <v>146</v>
      </c>
    </row>
    <row r="61" spans="1:9" x14ac:dyDescent="0.35">
      <c r="A61" t="s">
        <v>147</v>
      </c>
      <c r="B61" t="s">
        <v>37</v>
      </c>
      <c r="C61" t="s">
        <v>70</v>
      </c>
      <c r="E61">
        <v>287027.3</v>
      </c>
      <c r="G61" s="1">
        <v>45467</v>
      </c>
      <c r="H61" t="s">
        <v>9</v>
      </c>
      <c r="I61" t="s">
        <v>148</v>
      </c>
    </row>
    <row r="62" spans="1:9" x14ac:dyDescent="0.35">
      <c r="A62" t="s">
        <v>149</v>
      </c>
      <c r="B62" t="s">
        <v>20</v>
      </c>
      <c r="C62" t="s">
        <v>12</v>
      </c>
      <c r="G62" s="1">
        <v>45479</v>
      </c>
      <c r="H62" t="s">
        <v>13</v>
      </c>
      <c r="I62" t="s">
        <v>150</v>
      </c>
    </row>
    <row r="63" spans="1:9" x14ac:dyDescent="0.35">
      <c r="A63" t="s">
        <v>151</v>
      </c>
      <c r="B63" t="s">
        <v>31</v>
      </c>
      <c r="C63" t="s">
        <v>17</v>
      </c>
      <c r="D63">
        <v>93</v>
      </c>
      <c r="E63">
        <v>138169.23000000001</v>
      </c>
      <c r="F63">
        <v>12849738.390000001</v>
      </c>
      <c r="G63" s="1">
        <v>45646</v>
      </c>
      <c r="H63" t="s">
        <v>28</v>
      </c>
      <c r="I63" t="s">
        <v>152</v>
      </c>
    </row>
    <row r="64" spans="1:9" x14ac:dyDescent="0.35">
      <c r="A64" t="s">
        <v>153</v>
      </c>
      <c r="B64" t="s">
        <v>105</v>
      </c>
      <c r="C64" t="s">
        <v>12</v>
      </c>
      <c r="E64">
        <v>160171.56</v>
      </c>
      <c r="G64" s="1">
        <v>45519</v>
      </c>
      <c r="H64" t="s">
        <v>28</v>
      </c>
      <c r="I64" t="s">
        <v>154</v>
      </c>
    </row>
    <row r="65" spans="1:9" x14ac:dyDescent="0.35">
      <c r="A65" t="s">
        <v>155</v>
      </c>
      <c r="B65" t="s">
        <v>1074</v>
      </c>
      <c r="C65" t="s">
        <v>90</v>
      </c>
      <c r="E65">
        <v>164108.82999999999</v>
      </c>
      <c r="G65" s="1">
        <v>45385</v>
      </c>
      <c r="H65" t="s">
        <v>9</v>
      </c>
      <c r="I65" t="s">
        <v>156</v>
      </c>
    </row>
    <row r="66" spans="1:9" x14ac:dyDescent="0.35">
      <c r="A66" t="s">
        <v>157</v>
      </c>
      <c r="B66" t="s">
        <v>76</v>
      </c>
      <c r="C66" t="s">
        <v>1075</v>
      </c>
      <c r="E66">
        <v>202922.64</v>
      </c>
      <c r="G66" s="1">
        <v>45217</v>
      </c>
      <c r="I66" t="s">
        <v>158</v>
      </c>
    </row>
    <row r="67" spans="1:9" x14ac:dyDescent="0.35">
      <c r="B67" t="s">
        <v>109</v>
      </c>
      <c r="C67" t="s">
        <v>70</v>
      </c>
      <c r="E67">
        <v>260362.49</v>
      </c>
      <c r="G67" s="1">
        <v>45799</v>
      </c>
      <c r="H67" t="s">
        <v>47</v>
      </c>
      <c r="I67" t="s">
        <v>159</v>
      </c>
    </row>
    <row r="68" spans="1:9" x14ac:dyDescent="0.35">
      <c r="A68" t="s">
        <v>160</v>
      </c>
      <c r="B68" t="s">
        <v>85</v>
      </c>
      <c r="C68" t="s">
        <v>55</v>
      </c>
      <c r="D68">
        <v>94</v>
      </c>
      <c r="E68">
        <v>204383.39</v>
      </c>
      <c r="F68">
        <v>19212038.66</v>
      </c>
      <c r="G68" s="1">
        <v>45761</v>
      </c>
      <c r="I68" t="s">
        <v>161</v>
      </c>
    </row>
    <row r="69" spans="1:9" x14ac:dyDescent="0.35">
      <c r="A69" t="s">
        <v>162</v>
      </c>
      <c r="B69" t="s">
        <v>109</v>
      </c>
      <c r="C69" t="s">
        <v>27</v>
      </c>
      <c r="E69">
        <v>241193.93</v>
      </c>
      <c r="G69" s="1">
        <v>45724</v>
      </c>
      <c r="I69" t="s">
        <v>163</v>
      </c>
    </row>
    <row r="70" spans="1:9" x14ac:dyDescent="0.35">
      <c r="A70" t="s">
        <v>164</v>
      </c>
      <c r="B70" t="s">
        <v>109</v>
      </c>
      <c r="C70" t="s">
        <v>17</v>
      </c>
      <c r="E70">
        <v>79676.47</v>
      </c>
      <c r="G70" s="1">
        <v>45546</v>
      </c>
      <c r="H70" t="s">
        <v>47</v>
      </c>
      <c r="I70" t="s">
        <v>165</v>
      </c>
    </row>
    <row r="71" spans="1:9" x14ac:dyDescent="0.35">
      <c r="A71" t="s">
        <v>166</v>
      </c>
      <c r="B71" t="s">
        <v>53</v>
      </c>
      <c r="C71" t="s">
        <v>55</v>
      </c>
      <c r="E71">
        <v>145511.94</v>
      </c>
      <c r="G71" s="1">
        <v>45614</v>
      </c>
      <c r="H71" t="s">
        <v>28</v>
      </c>
      <c r="I71" t="s">
        <v>167</v>
      </c>
    </row>
    <row r="72" spans="1:9" x14ac:dyDescent="0.35">
      <c r="A72" t="s">
        <v>168</v>
      </c>
      <c r="B72" t="s">
        <v>16</v>
      </c>
      <c r="C72" t="s">
        <v>55</v>
      </c>
      <c r="G72" s="1">
        <v>45574</v>
      </c>
      <c r="H72" t="s">
        <v>47</v>
      </c>
    </row>
    <row r="73" spans="1:9" x14ac:dyDescent="0.35">
      <c r="A73" t="s">
        <v>169</v>
      </c>
      <c r="B73" t="s">
        <v>37</v>
      </c>
      <c r="C73" t="s">
        <v>70</v>
      </c>
      <c r="D73">
        <v>61</v>
      </c>
      <c r="E73">
        <v>287222.55</v>
      </c>
      <c r="F73">
        <v>17520575.550000001</v>
      </c>
      <c r="G73" s="1">
        <v>45259</v>
      </c>
      <c r="H73" t="s">
        <v>47</v>
      </c>
      <c r="I73" t="s">
        <v>170</v>
      </c>
    </row>
    <row r="74" spans="1:9" x14ac:dyDescent="0.35">
      <c r="A74" t="s">
        <v>171</v>
      </c>
      <c r="B74" t="s">
        <v>1076</v>
      </c>
      <c r="C74" t="s">
        <v>1075</v>
      </c>
      <c r="D74">
        <v>12</v>
      </c>
      <c r="E74">
        <v>84062.42</v>
      </c>
      <c r="F74">
        <v>1008749.04</v>
      </c>
      <c r="G74" s="1">
        <v>45714</v>
      </c>
      <c r="H74" t="s">
        <v>13</v>
      </c>
      <c r="I74" t="s">
        <v>172</v>
      </c>
    </row>
    <row r="75" spans="1:9" x14ac:dyDescent="0.35">
      <c r="A75" t="s">
        <v>173</v>
      </c>
      <c r="B75" t="s">
        <v>85</v>
      </c>
      <c r="C75" t="s">
        <v>70</v>
      </c>
      <c r="E75">
        <v>89900.5</v>
      </c>
      <c r="G75" s="1">
        <v>45218</v>
      </c>
      <c r="H75" t="s">
        <v>13</v>
      </c>
      <c r="I75" t="s">
        <v>174</v>
      </c>
    </row>
    <row r="76" spans="1:9" x14ac:dyDescent="0.35">
      <c r="A76" t="s">
        <v>175</v>
      </c>
      <c r="B76" t="s">
        <v>34</v>
      </c>
      <c r="C76" t="s">
        <v>23</v>
      </c>
      <c r="E76">
        <v>282474.92</v>
      </c>
      <c r="G76" s="1">
        <v>45454</v>
      </c>
      <c r="H76" t="s">
        <v>13</v>
      </c>
      <c r="I76" t="s">
        <v>176</v>
      </c>
    </row>
    <row r="77" spans="1:9" x14ac:dyDescent="0.35">
      <c r="A77" t="s">
        <v>177</v>
      </c>
      <c r="B77" t="s">
        <v>20</v>
      </c>
      <c r="C77" t="s">
        <v>46</v>
      </c>
      <c r="E77">
        <v>294686.96000000002</v>
      </c>
      <c r="G77" s="1">
        <v>45508</v>
      </c>
      <c r="H77" t="s">
        <v>28</v>
      </c>
      <c r="I77" t="s">
        <v>178</v>
      </c>
    </row>
    <row r="78" spans="1:9" x14ac:dyDescent="0.35">
      <c r="A78" t="s">
        <v>179</v>
      </c>
      <c r="B78" t="s">
        <v>85</v>
      </c>
      <c r="C78" t="s">
        <v>17</v>
      </c>
      <c r="E78">
        <v>231466.69</v>
      </c>
      <c r="G78" s="1">
        <v>45825</v>
      </c>
      <c r="H78" t="s">
        <v>47</v>
      </c>
      <c r="I78" t="s">
        <v>180</v>
      </c>
    </row>
    <row r="79" spans="1:9" x14ac:dyDescent="0.35">
      <c r="A79" t="s">
        <v>181</v>
      </c>
      <c r="B79" t="s">
        <v>76</v>
      </c>
      <c r="C79" t="s">
        <v>90</v>
      </c>
      <c r="E79">
        <v>211617.83</v>
      </c>
      <c r="G79" s="1">
        <v>45792</v>
      </c>
      <c r="H79" t="s">
        <v>9</v>
      </c>
      <c r="I79" t="s">
        <v>182</v>
      </c>
    </row>
    <row r="80" spans="1:9" x14ac:dyDescent="0.35">
      <c r="B80" t="s">
        <v>105</v>
      </c>
      <c r="C80" t="s">
        <v>90</v>
      </c>
      <c r="E80">
        <v>207226.85</v>
      </c>
      <c r="G80" s="1">
        <v>45161</v>
      </c>
      <c r="H80" t="s">
        <v>47</v>
      </c>
      <c r="I80" t="s">
        <v>183</v>
      </c>
    </row>
    <row r="81" spans="1:9" x14ac:dyDescent="0.35">
      <c r="A81" t="s">
        <v>184</v>
      </c>
      <c r="B81" t="s">
        <v>16</v>
      </c>
      <c r="C81" t="s">
        <v>55</v>
      </c>
      <c r="E81">
        <v>146956.42000000001</v>
      </c>
      <c r="G81" s="1">
        <v>45763</v>
      </c>
      <c r="H81" t="s">
        <v>28</v>
      </c>
      <c r="I81" t="s">
        <v>185</v>
      </c>
    </row>
    <row r="82" spans="1:9" x14ac:dyDescent="0.35">
      <c r="A82" t="s">
        <v>186</v>
      </c>
      <c r="B82" t="s">
        <v>34</v>
      </c>
      <c r="C82" t="s">
        <v>1063</v>
      </c>
      <c r="G82" s="1">
        <v>45214</v>
      </c>
      <c r="H82" t="s">
        <v>13</v>
      </c>
      <c r="I82" t="s">
        <v>187</v>
      </c>
    </row>
    <row r="83" spans="1:9" x14ac:dyDescent="0.35">
      <c r="A83" t="s">
        <v>188</v>
      </c>
      <c r="B83" t="s">
        <v>1077</v>
      </c>
      <c r="C83" t="s">
        <v>46</v>
      </c>
      <c r="E83">
        <v>144201.13</v>
      </c>
      <c r="G83" s="1">
        <v>45520</v>
      </c>
      <c r="H83" t="s">
        <v>28</v>
      </c>
      <c r="I83" t="s">
        <v>189</v>
      </c>
    </row>
    <row r="84" spans="1:9" x14ac:dyDescent="0.35">
      <c r="A84" t="s">
        <v>190</v>
      </c>
      <c r="B84" t="s">
        <v>89</v>
      </c>
      <c r="C84" t="s">
        <v>90</v>
      </c>
      <c r="E84">
        <v>168366.03</v>
      </c>
      <c r="G84" s="1">
        <v>45236</v>
      </c>
      <c r="H84" t="s">
        <v>13</v>
      </c>
      <c r="I84" t="s">
        <v>191</v>
      </c>
    </row>
    <row r="85" spans="1:9" x14ac:dyDescent="0.35">
      <c r="A85" t="s">
        <v>192</v>
      </c>
      <c r="B85" t="s">
        <v>45</v>
      </c>
      <c r="C85" t="s">
        <v>90</v>
      </c>
      <c r="D85">
        <v>93</v>
      </c>
      <c r="E85">
        <v>280378.37</v>
      </c>
      <c r="F85">
        <v>26075188.41</v>
      </c>
      <c r="G85" s="1">
        <v>45354</v>
      </c>
      <c r="H85" t="s">
        <v>28</v>
      </c>
      <c r="I85" t="s">
        <v>193</v>
      </c>
    </row>
    <row r="86" spans="1:9" x14ac:dyDescent="0.35">
      <c r="A86" t="s">
        <v>194</v>
      </c>
      <c r="B86" t="s">
        <v>20</v>
      </c>
      <c r="C86" t="s">
        <v>27</v>
      </c>
      <c r="E86">
        <v>216638.48</v>
      </c>
      <c r="G86" s="1">
        <v>45245</v>
      </c>
      <c r="H86" t="s">
        <v>9</v>
      </c>
    </row>
    <row r="87" spans="1:9" x14ac:dyDescent="0.35">
      <c r="A87" t="s">
        <v>195</v>
      </c>
      <c r="B87" t="s">
        <v>45</v>
      </c>
      <c r="C87" t="s">
        <v>27</v>
      </c>
      <c r="E87">
        <v>86692.92</v>
      </c>
      <c r="G87" s="1">
        <v>45243</v>
      </c>
      <c r="H87" t="s">
        <v>13</v>
      </c>
      <c r="I87" t="s">
        <v>196</v>
      </c>
    </row>
    <row r="88" spans="1:9" x14ac:dyDescent="0.35">
      <c r="A88" t="s">
        <v>197</v>
      </c>
      <c r="B88" t="s">
        <v>89</v>
      </c>
      <c r="C88" t="s">
        <v>90</v>
      </c>
      <c r="E88">
        <v>172256.3</v>
      </c>
      <c r="G88" s="1">
        <v>45368</v>
      </c>
      <c r="H88" t="s">
        <v>13</v>
      </c>
      <c r="I88" t="s">
        <v>198</v>
      </c>
    </row>
    <row r="89" spans="1:9" x14ac:dyDescent="0.35">
      <c r="A89" t="s">
        <v>199</v>
      </c>
      <c r="B89" t="s">
        <v>105</v>
      </c>
      <c r="C89" t="s">
        <v>12</v>
      </c>
      <c r="D89">
        <v>65</v>
      </c>
      <c r="E89">
        <v>163185.67000000001</v>
      </c>
      <c r="F89">
        <v>10607068.550000001</v>
      </c>
      <c r="G89" s="1">
        <v>45844</v>
      </c>
      <c r="H89" t="s">
        <v>47</v>
      </c>
      <c r="I89" t="s">
        <v>200</v>
      </c>
    </row>
    <row r="90" spans="1:9" x14ac:dyDescent="0.35">
      <c r="A90" t="s">
        <v>201</v>
      </c>
      <c r="B90" t="s">
        <v>16</v>
      </c>
      <c r="C90" t="s">
        <v>1063</v>
      </c>
      <c r="E90">
        <v>268780.26</v>
      </c>
      <c r="G90" s="1">
        <v>45668</v>
      </c>
      <c r="H90" t="s">
        <v>28</v>
      </c>
      <c r="I90" t="s">
        <v>202</v>
      </c>
    </row>
    <row r="91" spans="1:9" x14ac:dyDescent="0.35">
      <c r="A91" t="s">
        <v>203</v>
      </c>
      <c r="B91" t="s">
        <v>37</v>
      </c>
      <c r="C91" t="s">
        <v>12</v>
      </c>
      <c r="D91">
        <v>62</v>
      </c>
      <c r="E91">
        <v>118662.47</v>
      </c>
      <c r="F91">
        <v>7357073.1399999997</v>
      </c>
      <c r="G91" s="1">
        <v>45293</v>
      </c>
      <c r="I91" t="s">
        <v>204</v>
      </c>
    </row>
    <row r="92" spans="1:9" x14ac:dyDescent="0.35">
      <c r="A92" t="s">
        <v>205</v>
      </c>
      <c r="B92" t="s">
        <v>1073</v>
      </c>
      <c r="C92" t="s">
        <v>17</v>
      </c>
      <c r="G92" s="1">
        <v>45386</v>
      </c>
      <c r="I92" t="s">
        <v>206</v>
      </c>
    </row>
    <row r="93" spans="1:9" x14ac:dyDescent="0.35">
      <c r="B93" t="s">
        <v>79</v>
      </c>
      <c r="C93" t="s">
        <v>46</v>
      </c>
      <c r="E93">
        <v>103867.84</v>
      </c>
      <c r="G93" s="1">
        <v>45848</v>
      </c>
      <c r="H93" t="s">
        <v>47</v>
      </c>
      <c r="I93" s="2" t="s">
        <v>207</v>
      </c>
    </row>
    <row r="94" spans="1:9" x14ac:dyDescent="0.35">
      <c r="A94" t="s">
        <v>208</v>
      </c>
      <c r="B94" t="s">
        <v>89</v>
      </c>
      <c r="C94" t="s">
        <v>27</v>
      </c>
      <c r="E94">
        <v>232032.77</v>
      </c>
      <c r="G94" s="1">
        <v>45521</v>
      </c>
      <c r="H94" t="s">
        <v>28</v>
      </c>
      <c r="I94" t="s">
        <v>209</v>
      </c>
    </row>
    <row r="95" spans="1:9" x14ac:dyDescent="0.35">
      <c r="A95" t="s">
        <v>210</v>
      </c>
      <c r="B95" t="s">
        <v>53</v>
      </c>
      <c r="C95" t="s">
        <v>17</v>
      </c>
      <c r="D95">
        <v>74</v>
      </c>
      <c r="E95">
        <v>44369.599999999999</v>
      </c>
      <c r="F95">
        <v>3283350.4</v>
      </c>
      <c r="G95" s="1">
        <v>45813</v>
      </c>
      <c r="H95" t="s">
        <v>9</v>
      </c>
      <c r="I95" t="s">
        <v>211</v>
      </c>
    </row>
    <row r="96" spans="1:9" x14ac:dyDescent="0.35">
      <c r="A96" t="s">
        <v>212</v>
      </c>
      <c r="B96" t="s">
        <v>213</v>
      </c>
      <c r="C96" t="s">
        <v>23</v>
      </c>
      <c r="E96">
        <v>13098.91</v>
      </c>
      <c r="G96" s="1">
        <v>45338</v>
      </c>
      <c r="H96" t="s">
        <v>47</v>
      </c>
      <c r="I96" t="s">
        <v>214</v>
      </c>
    </row>
    <row r="97" spans="1:9" x14ac:dyDescent="0.35">
      <c r="A97" t="s">
        <v>215</v>
      </c>
      <c r="B97" t="s">
        <v>105</v>
      </c>
      <c r="C97" t="s">
        <v>55</v>
      </c>
      <c r="E97">
        <v>286616.46000000002</v>
      </c>
      <c r="G97" s="1">
        <v>45775</v>
      </c>
      <c r="H97" t="s">
        <v>13</v>
      </c>
      <c r="I97" t="s">
        <v>216</v>
      </c>
    </row>
    <row r="98" spans="1:9" x14ac:dyDescent="0.35">
      <c r="A98" t="s">
        <v>217</v>
      </c>
      <c r="B98" t="s">
        <v>76</v>
      </c>
      <c r="C98" t="s">
        <v>1078</v>
      </c>
      <c r="E98">
        <v>24169.32</v>
      </c>
      <c r="G98" s="1">
        <v>45179</v>
      </c>
      <c r="H98" t="s">
        <v>9</v>
      </c>
      <c r="I98" t="s">
        <v>218</v>
      </c>
    </row>
    <row r="99" spans="1:9" x14ac:dyDescent="0.35">
      <c r="A99" t="s">
        <v>219</v>
      </c>
      <c r="B99" t="s">
        <v>26</v>
      </c>
      <c r="C99" t="s">
        <v>46</v>
      </c>
      <c r="E99">
        <v>277240.88</v>
      </c>
      <c r="G99" s="1">
        <v>45312</v>
      </c>
      <c r="H99" t="s">
        <v>28</v>
      </c>
      <c r="I99" t="s">
        <v>220</v>
      </c>
    </row>
    <row r="100" spans="1:9" x14ac:dyDescent="0.35">
      <c r="A100" t="s">
        <v>221</v>
      </c>
      <c r="B100" t="s">
        <v>16</v>
      </c>
      <c r="C100" t="s">
        <v>12</v>
      </c>
      <c r="E100">
        <v>196963.63</v>
      </c>
      <c r="G100" s="1">
        <v>45270</v>
      </c>
      <c r="H100" t="s">
        <v>13</v>
      </c>
    </row>
    <row r="101" spans="1:9" x14ac:dyDescent="0.35">
      <c r="A101" t="s">
        <v>222</v>
      </c>
      <c r="B101" t="s">
        <v>1079</v>
      </c>
      <c r="C101" t="s">
        <v>23</v>
      </c>
      <c r="E101">
        <v>224327.88</v>
      </c>
      <c r="G101" s="1">
        <v>45611</v>
      </c>
      <c r="I101" t="s">
        <v>223</v>
      </c>
    </row>
    <row r="102" spans="1:9" x14ac:dyDescent="0.35">
      <c r="A102" t="s">
        <v>224</v>
      </c>
      <c r="B102" t="s">
        <v>20</v>
      </c>
      <c r="C102" t="s">
        <v>46</v>
      </c>
      <c r="D102">
        <v>35</v>
      </c>
      <c r="G102" s="1">
        <v>45545</v>
      </c>
      <c r="H102" t="s">
        <v>28</v>
      </c>
      <c r="I102" t="s">
        <v>225</v>
      </c>
    </row>
    <row r="103" spans="1:9" x14ac:dyDescent="0.35">
      <c r="A103" t="s">
        <v>226</v>
      </c>
      <c r="B103" t="s">
        <v>34</v>
      </c>
      <c r="C103" t="s">
        <v>90</v>
      </c>
      <c r="E103">
        <v>64589.05</v>
      </c>
      <c r="G103" s="1">
        <v>45331</v>
      </c>
      <c r="H103" t="s">
        <v>13</v>
      </c>
      <c r="I103" t="s">
        <v>227</v>
      </c>
    </row>
    <row r="104" spans="1:9" x14ac:dyDescent="0.35">
      <c r="A104" t="s">
        <v>228</v>
      </c>
      <c r="B104" t="s">
        <v>34</v>
      </c>
      <c r="C104" t="s">
        <v>23</v>
      </c>
      <c r="E104">
        <v>248471.54</v>
      </c>
      <c r="G104" s="1">
        <v>45215</v>
      </c>
      <c r="H104" t="s">
        <v>28</v>
      </c>
      <c r="I104" t="s">
        <v>229</v>
      </c>
    </row>
    <row r="105" spans="1:9" x14ac:dyDescent="0.35">
      <c r="A105" t="s">
        <v>230</v>
      </c>
      <c r="B105" t="s">
        <v>16</v>
      </c>
      <c r="C105" t="s">
        <v>70</v>
      </c>
      <c r="E105">
        <v>81704.25</v>
      </c>
      <c r="G105" s="1">
        <v>45603</v>
      </c>
      <c r="H105" t="s">
        <v>13</v>
      </c>
      <c r="I105" t="s">
        <v>231</v>
      </c>
    </row>
    <row r="106" spans="1:9" x14ac:dyDescent="0.35">
      <c r="B106" t="s">
        <v>79</v>
      </c>
      <c r="C106" t="s">
        <v>1069</v>
      </c>
      <c r="D106">
        <v>1</v>
      </c>
      <c r="E106">
        <v>168824.4</v>
      </c>
      <c r="F106">
        <v>168824.4</v>
      </c>
      <c r="G106" s="1">
        <v>45353</v>
      </c>
      <c r="H106" t="s">
        <v>28</v>
      </c>
      <c r="I106" t="s">
        <v>232</v>
      </c>
    </row>
    <row r="107" spans="1:9" x14ac:dyDescent="0.35">
      <c r="A107" t="s">
        <v>233</v>
      </c>
      <c r="B107" t="s">
        <v>42</v>
      </c>
      <c r="C107" t="s">
        <v>27</v>
      </c>
      <c r="E107">
        <v>81850.63</v>
      </c>
      <c r="G107" s="1">
        <v>45595</v>
      </c>
      <c r="I107" t="s">
        <v>234</v>
      </c>
    </row>
    <row r="108" spans="1:9" x14ac:dyDescent="0.35">
      <c r="A108" t="s">
        <v>235</v>
      </c>
      <c r="B108" t="s">
        <v>79</v>
      </c>
      <c r="C108" t="s">
        <v>46</v>
      </c>
      <c r="E108">
        <v>33213.360000000001</v>
      </c>
      <c r="G108" s="1">
        <v>45532</v>
      </c>
      <c r="H108" t="s">
        <v>47</v>
      </c>
      <c r="I108" t="s">
        <v>236</v>
      </c>
    </row>
    <row r="109" spans="1:9" x14ac:dyDescent="0.35">
      <c r="A109" t="s">
        <v>237</v>
      </c>
      <c r="B109" t="s">
        <v>105</v>
      </c>
      <c r="C109" t="s">
        <v>27</v>
      </c>
      <c r="D109">
        <v>9</v>
      </c>
      <c r="E109">
        <v>222396.85</v>
      </c>
      <c r="F109">
        <v>2001571.65</v>
      </c>
      <c r="G109" s="1">
        <v>45190</v>
      </c>
      <c r="H109" t="s">
        <v>13</v>
      </c>
      <c r="I109" t="s">
        <v>238</v>
      </c>
    </row>
    <row r="110" spans="1:9" x14ac:dyDescent="0.35">
      <c r="A110" t="s">
        <v>239</v>
      </c>
      <c r="B110" t="s">
        <v>1080</v>
      </c>
      <c r="C110" t="s">
        <v>46</v>
      </c>
      <c r="E110">
        <v>72164.98</v>
      </c>
      <c r="G110" s="1">
        <v>45508</v>
      </c>
      <c r="H110" t="s">
        <v>13</v>
      </c>
      <c r="I110" t="s">
        <v>240</v>
      </c>
    </row>
    <row r="111" spans="1:9" x14ac:dyDescent="0.35">
      <c r="A111" t="s">
        <v>241</v>
      </c>
      <c r="B111" t="s">
        <v>20</v>
      </c>
      <c r="C111" t="s">
        <v>23</v>
      </c>
      <c r="D111">
        <v>4</v>
      </c>
      <c r="E111">
        <v>15704.25</v>
      </c>
      <c r="F111">
        <v>62817</v>
      </c>
      <c r="G111" s="1">
        <v>45615</v>
      </c>
      <c r="I111" t="s">
        <v>242</v>
      </c>
    </row>
    <row r="112" spans="1:9" x14ac:dyDescent="0.35">
      <c r="A112" t="s">
        <v>243</v>
      </c>
      <c r="B112" t="s">
        <v>26</v>
      </c>
      <c r="C112" t="s">
        <v>46</v>
      </c>
      <c r="G112" s="1">
        <v>45248</v>
      </c>
      <c r="H112" t="s">
        <v>47</v>
      </c>
      <c r="I112" t="s">
        <v>244</v>
      </c>
    </row>
    <row r="113" spans="1:9" x14ac:dyDescent="0.35">
      <c r="A113" t="s">
        <v>245</v>
      </c>
      <c r="B113" t="s">
        <v>58</v>
      </c>
      <c r="C113" t="s">
        <v>90</v>
      </c>
      <c r="E113">
        <v>271602.67</v>
      </c>
      <c r="G113" s="1">
        <v>45577</v>
      </c>
      <c r="H113" t="s">
        <v>28</v>
      </c>
      <c r="I113" t="s">
        <v>246</v>
      </c>
    </row>
    <row r="114" spans="1:9" x14ac:dyDescent="0.35">
      <c r="A114" t="s">
        <v>247</v>
      </c>
      <c r="B114" t="s">
        <v>213</v>
      </c>
      <c r="C114" t="s">
        <v>1065</v>
      </c>
      <c r="E114">
        <v>68088.66</v>
      </c>
      <c r="G114" s="1">
        <v>45569</v>
      </c>
      <c r="H114" t="s">
        <v>13</v>
      </c>
    </row>
    <row r="115" spans="1:9" x14ac:dyDescent="0.35">
      <c r="A115" t="s">
        <v>248</v>
      </c>
      <c r="B115" t="s">
        <v>37</v>
      </c>
      <c r="C115" t="s">
        <v>70</v>
      </c>
      <c r="D115">
        <v>44</v>
      </c>
      <c r="E115">
        <v>70234.55</v>
      </c>
      <c r="F115">
        <v>3090320.2</v>
      </c>
      <c r="G115" s="1">
        <v>45237</v>
      </c>
      <c r="H115" t="s">
        <v>47</v>
      </c>
      <c r="I115" t="s">
        <v>249</v>
      </c>
    </row>
    <row r="116" spans="1:9" x14ac:dyDescent="0.35">
      <c r="A116" t="s">
        <v>250</v>
      </c>
      <c r="B116" t="s">
        <v>45</v>
      </c>
      <c r="C116" t="s">
        <v>55</v>
      </c>
      <c r="E116">
        <v>30509.29</v>
      </c>
      <c r="G116" s="1">
        <v>45250</v>
      </c>
      <c r="H116" t="s">
        <v>28</v>
      </c>
      <c r="I116" t="s">
        <v>251</v>
      </c>
    </row>
    <row r="117" spans="1:9" x14ac:dyDescent="0.35">
      <c r="A117" t="s">
        <v>252</v>
      </c>
      <c r="B117" t="s">
        <v>31</v>
      </c>
      <c r="C117" t="s">
        <v>46</v>
      </c>
      <c r="E117">
        <v>99422.94</v>
      </c>
      <c r="G117" s="1">
        <v>45629</v>
      </c>
      <c r="H117" t="s">
        <v>13</v>
      </c>
      <c r="I117" t="s">
        <v>253</v>
      </c>
    </row>
    <row r="118" spans="1:9" x14ac:dyDescent="0.35">
      <c r="A118" t="s">
        <v>254</v>
      </c>
      <c r="B118" t="s">
        <v>26</v>
      </c>
      <c r="C118" t="s">
        <v>55</v>
      </c>
      <c r="E118">
        <v>141984.97</v>
      </c>
      <c r="G118" s="1">
        <v>45603</v>
      </c>
      <c r="H118" t="s">
        <v>13</v>
      </c>
      <c r="I118" t="s">
        <v>255</v>
      </c>
    </row>
    <row r="119" spans="1:9" x14ac:dyDescent="0.35">
      <c r="B119" t="s">
        <v>1081</v>
      </c>
      <c r="C119" t="s">
        <v>90</v>
      </c>
      <c r="D119">
        <v>77</v>
      </c>
      <c r="E119">
        <v>204517</v>
      </c>
      <c r="F119">
        <v>15747809</v>
      </c>
      <c r="G119" s="1">
        <v>45677</v>
      </c>
      <c r="H119" t="s">
        <v>28</v>
      </c>
      <c r="I119" t="s">
        <v>256</v>
      </c>
    </row>
    <row r="120" spans="1:9" x14ac:dyDescent="0.35">
      <c r="A120" t="s">
        <v>257</v>
      </c>
      <c r="B120" t="s">
        <v>42</v>
      </c>
      <c r="C120" t="s">
        <v>70</v>
      </c>
      <c r="D120">
        <v>7</v>
      </c>
      <c r="E120">
        <v>41671.379999999997</v>
      </c>
      <c r="F120">
        <v>291699.65999999997</v>
      </c>
      <c r="G120" s="1">
        <v>45818</v>
      </c>
      <c r="I120" t="s">
        <v>258</v>
      </c>
    </row>
    <row r="121" spans="1:9" x14ac:dyDescent="0.35">
      <c r="A121" t="s">
        <v>259</v>
      </c>
      <c r="B121" t="s">
        <v>61</v>
      </c>
      <c r="C121" t="s">
        <v>17</v>
      </c>
      <c r="E121">
        <v>289373.37</v>
      </c>
      <c r="G121" s="1">
        <v>45588</v>
      </c>
      <c r="H121" t="s">
        <v>47</v>
      </c>
      <c r="I121" t="s">
        <v>260</v>
      </c>
    </row>
    <row r="122" spans="1:9" x14ac:dyDescent="0.35">
      <c r="A122" t="s">
        <v>261</v>
      </c>
      <c r="B122" t="s">
        <v>37</v>
      </c>
      <c r="C122" t="s">
        <v>1068</v>
      </c>
      <c r="G122" s="1">
        <v>45380</v>
      </c>
      <c r="H122" t="s">
        <v>13</v>
      </c>
      <c r="I122" t="s">
        <v>262</v>
      </c>
    </row>
    <row r="123" spans="1:9" x14ac:dyDescent="0.35">
      <c r="A123" t="s">
        <v>263</v>
      </c>
      <c r="B123" t="s">
        <v>105</v>
      </c>
      <c r="C123" t="s">
        <v>70</v>
      </c>
      <c r="E123">
        <v>293384.26</v>
      </c>
      <c r="G123" s="1">
        <v>45772</v>
      </c>
      <c r="H123" t="s">
        <v>28</v>
      </c>
      <c r="I123" t="s">
        <v>264</v>
      </c>
    </row>
    <row r="124" spans="1:9" x14ac:dyDescent="0.35">
      <c r="A124" t="s">
        <v>265</v>
      </c>
      <c r="B124" t="s">
        <v>105</v>
      </c>
      <c r="C124" t="s">
        <v>55</v>
      </c>
      <c r="E124">
        <v>47803.35</v>
      </c>
      <c r="G124" s="1">
        <v>45835</v>
      </c>
      <c r="H124" t="s">
        <v>13</v>
      </c>
      <c r="I124" t="s">
        <v>266</v>
      </c>
    </row>
    <row r="125" spans="1:9" x14ac:dyDescent="0.35">
      <c r="A125" t="s">
        <v>267</v>
      </c>
      <c r="B125" t="s">
        <v>61</v>
      </c>
      <c r="C125" t="s">
        <v>17</v>
      </c>
      <c r="E125">
        <v>196041.39</v>
      </c>
      <c r="G125" s="1">
        <v>45555</v>
      </c>
      <c r="H125" t="s">
        <v>28</v>
      </c>
      <c r="I125" t="s">
        <v>268</v>
      </c>
    </row>
    <row r="126" spans="1:9" x14ac:dyDescent="0.35">
      <c r="A126" t="s">
        <v>269</v>
      </c>
      <c r="B126" t="s">
        <v>76</v>
      </c>
      <c r="C126" t="s">
        <v>12</v>
      </c>
      <c r="E126">
        <v>264253.90999999997</v>
      </c>
      <c r="G126" s="1">
        <v>45149</v>
      </c>
      <c r="H126" t="s">
        <v>13</v>
      </c>
      <c r="I126" t="s">
        <v>270</v>
      </c>
    </row>
    <row r="127" spans="1:9" x14ac:dyDescent="0.35">
      <c r="A127" t="s">
        <v>271</v>
      </c>
      <c r="B127" t="s">
        <v>58</v>
      </c>
      <c r="C127" t="s">
        <v>70</v>
      </c>
      <c r="E127">
        <v>142972.04</v>
      </c>
      <c r="G127" s="1">
        <v>45758</v>
      </c>
      <c r="H127" t="s">
        <v>9</v>
      </c>
      <c r="I127" t="s">
        <v>272</v>
      </c>
    </row>
    <row r="128" spans="1:9" x14ac:dyDescent="0.35">
      <c r="A128" t="s">
        <v>273</v>
      </c>
      <c r="B128" t="s">
        <v>1074</v>
      </c>
      <c r="C128" t="s">
        <v>12</v>
      </c>
      <c r="E128">
        <v>195336.34</v>
      </c>
      <c r="G128" s="1">
        <v>45788</v>
      </c>
    </row>
    <row r="129" spans="1:9" x14ac:dyDescent="0.35">
      <c r="A129" t="s">
        <v>274</v>
      </c>
      <c r="B129" t="s">
        <v>34</v>
      </c>
      <c r="C129" t="s">
        <v>23</v>
      </c>
      <c r="E129">
        <v>226895.35999999999</v>
      </c>
      <c r="G129" s="1">
        <v>45140</v>
      </c>
      <c r="H129" t="s">
        <v>47</v>
      </c>
      <c r="I129" t="s">
        <v>275</v>
      </c>
    </row>
    <row r="130" spans="1:9" x14ac:dyDescent="0.35">
      <c r="A130" t="s">
        <v>276</v>
      </c>
      <c r="B130" t="s">
        <v>11</v>
      </c>
      <c r="C130" t="s">
        <v>1062</v>
      </c>
      <c r="D130">
        <v>56</v>
      </c>
      <c r="E130">
        <v>86529.89</v>
      </c>
      <c r="F130">
        <v>4845673.84</v>
      </c>
      <c r="G130" s="1">
        <v>45181</v>
      </c>
      <c r="I130" t="s">
        <v>277</v>
      </c>
    </row>
    <row r="131" spans="1:9" x14ac:dyDescent="0.35">
      <c r="A131" t="s">
        <v>278</v>
      </c>
      <c r="B131" t="s">
        <v>31</v>
      </c>
      <c r="C131" t="s">
        <v>17</v>
      </c>
      <c r="E131">
        <v>85981.89</v>
      </c>
      <c r="G131" s="1">
        <v>45153</v>
      </c>
      <c r="I131" t="s">
        <v>279</v>
      </c>
    </row>
    <row r="132" spans="1:9" x14ac:dyDescent="0.35">
      <c r="B132" t="s">
        <v>34</v>
      </c>
      <c r="C132" t="s">
        <v>70</v>
      </c>
      <c r="G132" s="1">
        <v>45616</v>
      </c>
      <c r="H132" t="s">
        <v>47</v>
      </c>
      <c r="I132" t="s">
        <v>280</v>
      </c>
    </row>
    <row r="133" spans="1:9" x14ac:dyDescent="0.35">
      <c r="A133" t="s">
        <v>281</v>
      </c>
      <c r="B133" t="s">
        <v>16</v>
      </c>
      <c r="C133" t="s">
        <v>23</v>
      </c>
      <c r="E133">
        <v>18219.189999999999</v>
      </c>
      <c r="G133" s="1">
        <v>45716</v>
      </c>
      <c r="I133" t="s">
        <v>282</v>
      </c>
    </row>
    <row r="134" spans="1:9" x14ac:dyDescent="0.35">
      <c r="A134" t="s">
        <v>283</v>
      </c>
      <c r="B134" t="s">
        <v>89</v>
      </c>
      <c r="C134" t="s">
        <v>55</v>
      </c>
      <c r="E134">
        <v>230733.14</v>
      </c>
      <c r="G134" s="1">
        <v>45565</v>
      </c>
      <c r="H134" t="s">
        <v>9</v>
      </c>
      <c r="I134" t="s">
        <v>284</v>
      </c>
    </row>
    <row r="135" spans="1:9" x14ac:dyDescent="0.35">
      <c r="A135" t="s">
        <v>285</v>
      </c>
      <c r="B135" t="s">
        <v>31</v>
      </c>
      <c r="C135" t="s">
        <v>27</v>
      </c>
      <c r="D135">
        <v>6</v>
      </c>
      <c r="E135">
        <v>195863.47</v>
      </c>
      <c r="F135">
        <v>1175180.82</v>
      </c>
      <c r="G135" s="1">
        <v>45323</v>
      </c>
      <c r="H135" t="s">
        <v>28</v>
      </c>
      <c r="I135" t="s">
        <v>286</v>
      </c>
    </row>
    <row r="136" spans="1:9" x14ac:dyDescent="0.35">
      <c r="A136" t="s">
        <v>287</v>
      </c>
      <c r="B136" t="s">
        <v>131</v>
      </c>
      <c r="C136" t="s">
        <v>46</v>
      </c>
      <c r="E136">
        <v>70049.95</v>
      </c>
      <c r="G136" s="1">
        <v>45623</v>
      </c>
      <c r="H136" t="s">
        <v>47</v>
      </c>
      <c r="I136" t="s">
        <v>288</v>
      </c>
    </row>
    <row r="137" spans="1:9" x14ac:dyDescent="0.35">
      <c r="A137" t="s">
        <v>289</v>
      </c>
      <c r="B137" t="s">
        <v>1082</v>
      </c>
      <c r="C137" t="s">
        <v>23</v>
      </c>
      <c r="D137">
        <v>8</v>
      </c>
      <c r="E137">
        <v>221736.61</v>
      </c>
      <c r="F137">
        <v>1773892.88</v>
      </c>
      <c r="G137" s="1">
        <v>45281</v>
      </c>
      <c r="H137" t="s">
        <v>28</v>
      </c>
      <c r="I137" t="s">
        <v>290</v>
      </c>
    </row>
    <row r="138" spans="1:9" x14ac:dyDescent="0.35">
      <c r="A138" t="s">
        <v>291</v>
      </c>
      <c r="B138" t="s">
        <v>85</v>
      </c>
      <c r="C138" t="s">
        <v>1062</v>
      </c>
      <c r="E138">
        <v>255174.76</v>
      </c>
      <c r="G138" s="1">
        <v>45713</v>
      </c>
      <c r="H138" t="s">
        <v>13</v>
      </c>
      <c r="I138" t="s">
        <v>292</v>
      </c>
    </row>
    <row r="139" spans="1:9" x14ac:dyDescent="0.35">
      <c r="A139" t="s">
        <v>293</v>
      </c>
      <c r="B139" t="s">
        <v>76</v>
      </c>
      <c r="C139" t="s">
        <v>27</v>
      </c>
      <c r="D139">
        <v>28</v>
      </c>
      <c r="E139">
        <v>11670.82</v>
      </c>
      <c r="F139">
        <v>326782.96000000002</v>
      </c>
      <c r="G139" s="1">
        <v>45562</v>
      </c>
      <c r="H139" t="s">
        <v>9</v>
      </c>
      <c r="I139" t="s">
        <v>294</v>
      </c>
    </row>
    <row r="140" spans="1:9" x14ac:dyDescent="0.35">
      <c r="A140" t="s">
        <v>295</v>
      </c>
      <c r="B140" t="s">
        <v>11</v>
      </c>
      <c r="C140" t="s">
        <v>17</v>
      </c>
      <c r="E140">
        <v>276480.53000000003</v>
      </c>
      <c r="G140" s="1">
        <v>45441</v>
      </c>
      <c r="H140" t="s">
        <v>28</v>
      </c>
      <c r="I140" t="s">
        <v>296</v>
      </c>
    </row>
    <row r="141" spans="1:9" x14ac:dyDescent="0.35">
      <c r="A141" t="s">
        <v>297</v>
      </c>
      <c r="B141" t="s">
        <v>16</v>
      </c>
      <c r="C141" t="s">
        <v>70</v>
      </c>
      <c r="E141">
        <v>125656.55</v>
      </c>
      <c r="G141" s="1">
        <v>45598</v>
      </c>
      <c r="H141" t="s">
        <v>28</v>
      </c>
      <c r="I141" t="s">
        <v>298</v>
      </c>
    </row>
    <row r="142" spans="1:9" x14ac:dyDescent="0.35">
      <c r="A142" t="s">
        <v>299</v>
      </c>
      <c r="B142" t="s">
        <v>58</v>
      </c>
      <c r="C142" t="s">
        <v>55</v>
      </c>
      <c r="D142">
        <v>16</v>
      </c>
      <c r="G142" s="1">
        <v>45614</v>
      </c>
      <c r="H142" t="s">
        <v>47</v>
      </c>
    </row>
    <row r="143" spans="1:9" x14ac:dyDescent="0.35">
      <c r="A143" t="s">
        <v>300</v>
      </c>
      <c r="B143" t="s">
        <v>85</v>
      </c>
      <c r="C143" t="s">
        <v>90</v>
      </c>
      <c r="E143">
        <v>251362.66</v>
      </c>
      <c r="G143" s="1">
        <v>45141</v>
      </c>
      <c r="H143" t="s">
        <v>13</v>
      </c>
      <c r="I143" t="s">
        <v>301</v>
      </c>
    </row>
    <row r="144" spans="1:9" x14ac:dyDescent="0.35">
      <c r="A144" t="s">
        <v>302</v>
      </c>
      <c r="B144" t="s">
        <v>58</v>
      </c>
      <c r="C144" t="s">
        <v>17</v>
      </c>
      <c r="D144">
        <v>56</v>
      </c>
      <c r="E144">
        <v>280209.82</v>
      </c>
      <c r="F144">
        <v>15691749.92</v>
      </c>
      <c r="G144" s="1">
        <v>45504</v>
      </c>
      <c r="H144" t="s">
        <v>47</v>
      </c>
      <c r="I144" t="s">
        <v>303</v>
      </c>
    </row>
    <row r="145" spans="1:9" x14ac:dyDescent="0.35">
      <c r="B145" t="s">
        <v>31</v>
      </c>
      <c r="C145" t="s">
        <v>55</v>
      </c>
      <c r="E145">
        <v>11383.78</v>
      </c>
      <c r="G145" s="1">
        <v>45808</v>
      </c>
      <c r="H145" t="s">
        <v>13</v>
      </c>
      <c r="I145" t="s">
        <v>304</v>
      </c>
    </row>
    <row r="146" spans="1:9" x14ac:dyDescent="0.35">
      <c r="A146" t="s">
        <v>305</v>
      </c>
      <c r="B146" t="s">
        <v>1083</v>
      </c>
      <c r="C146" t="s">
        <v>1078</v>
      </c>
      <c r="E146">
        <v>250942.86</v>
      </c>
      <c r="G146" s="1">
        <v>45605</v>
      </c>
      <c r="H146" t="s">
        <v>47</v>
      </c>
      <c r="I146" t="s">
        <v>306</v>
      </c>
    </row>
    <row r="147" spans="1:9" x14ac:dyDescent="0.35">
      <c r="A147" t="s">
        <v>307</v>
      </c>
      <c r="B147" t="s">
        <v>58</v>
      </c>
      <c r="C147" t="s">
        <v>17</v>
      </c>
      <c r="E147">
        <v>236494.21</v>
      </c>
      <c r="G147" s="1">
        <v>45541</v>
      </c>
      <c r="H147" t="s">
        <v>28</v>
      </c>
      <c r="I147" t="s">
        <v>308</v>
      </c>
    </row>
    <row r="148" spans="1:9" x14ac:dyDescent="0.35">
      <c r="A148" t="s">
        <v>309</v>
      </c>
      <c r="B148" t="s">
        <v>61</v>
      </c>
      <c r="C148" t="s">
        <v>27</v>
      </c>
      <c r="E148">
        <v>56300.33</v>
      </c>
      <c r="G148" s="1">
        <v>45342</v>
      </c>
      <c r="H148" t="s">
        <v>28</v>
      </c>
      <c r="I148" t="s">
        <v>310</v>
      </c>
    </row>
    <row r="149" spans="1:9" x14ac:dyDescent="0.35">
      <c r="A149" t="s">
        <v>311</v>
      </c>
      <c r="B149" t="s">
        <v>53</v>
      </c>
      <c r="C149" t="s">
        <v>55</v>
      </c>
      <c r="D149">
        <v>46</v>
      </c>
      <c r="E149">
        <v>224826.46</v>
      </c>
      <c r="F149">
        <v>10342017.16</v>
      </c>
      <c r="G149" s="1">
        <v>45616</v>
      </c>
      <c r="H149" t="s">
        <v>9</v>
      </c>
      <c r="I149" t="s">
        <v>312</v>
      </c>
    </row>
    <row r="150" spans="1:9" x14ac:dyDescent="0.35">
      <c r="A150" t="s">
        <v>313</v>
      </c>
      <c r="B150" t="s">
        <v>26</v>
      </c>
      <c r="C150" t="s">
        <v>23</v>
      </c>
      <c r="E150">
        <v>261751.06</v>
      </c>
      <c r="G150" s="1">
        <v>45352</v>
      </c>
      <c r="H150" t="s">
        <v>28</v>
      </c>
      <c r="I150" t="s">
        <v>314</v>
      </c>
    </row>
    <row r="151" spans="1:9" x14ac:dyDescent="0.35">
      <c r="A151" t="s">
        <v>315</v>
      </c>
      <c r="B151" t="s">
        <v>109</v>
      </c>
      <c r="C151" t="s">
        <v>55</v>
      </c>
      <c r="E151">
        <v>87195.36</v>
      </c>
      <c r="G151" s="1">
        <v>45493</v>
      </c>
      <c r="I151" t="s">
        <v>316</v>
      </c>
    </row>
    <row r="152" spans="1:9" x14ac:dyDescent="0.35">
      <c r="A152" t="s">
        <v>317</v>
      </c>
      <c r="B152" t="s">
        <v>85</v>
      </c>
      <c r="C152" t="s">
        <v>23</v>
      </c>
      <c r="G152" s="1">
        <v>45308</v>
      </c>
      <c r="H152" t="s">
        <v>28</v>
      </c>
      <c r="I152" t="s">
        <v>318</v>
      </c>
    </row>
    <row r="153" spans="1:9" x14ac:dyDescent="0.35">
      <c r="A153" t="s">
        <v>319</v>
      </c>
      <c r="B153" t="s">
        <v>34</v>
      </c>
      <c r="C153" t="s">
        <v>23</v>
      </c>
      <c r="E153">
        <v>11721.12</v>
      </c>
      <c r="G153" s="1">
        <v>45743</v>
      </c>
      <c r="I153" t="s">
        <v>320</v>
      </c>
    </row>
    <row r="154" spans="1:9" x14ac:dyDescent="0.35">
      <c r="A154" t="s">
        <v>321</v>
      </c>
      <c r="B154" t="s">
        <v>58</v>
      </c>
      <c r="C154" t="s">
        <v>1072</v>
      </c>
      <c r="E154">
        <v>89868.47</v>
      </c>
      <c r="G154" s="1">
        <v>45745</v>
      </c>
      <c r="H154" t="s">
        <v>28</v>
      </c>
      <c r="I154" t="s">
        <v>322</v>
      </c>
    </row>
    <row r="155" spans="1:9" x14ac:dyDescent="0.35">
      <c r="A155" t="s">
        <v>323</v>
      </c>
      <c r="B155" t="s">
        <v>1066</v>
      </c>
      <c r="C155" t="s">
        <v>27</v>
      </c>
      <c r="E155">
        <v>181033.5</v>
      </c>
      <c r="G155" s="1">
        <v>45650</v>
      </c>
      <c r="I155" t="s">
        <v>324</v>
      </c>
    </row>
    <row r="156" spans="1:9" x14ac:dyDescent="0.35">
      <c r="A156" t="s">
        <v>325</v>
      </c>
      <c r="B156" t="s">
        <v>61</v>
      </c>
      <c r="C156" t="s">
        <v>46</v>
      </c>
      <c r="E156">
        <v>278572.23</v>
      </c>
      <c r="G156" s="1">
        <v>45433</v>
      </c>
    </row>
    <row r="157" spans="1:9" x14ac:dyDescent="0.35">
      <c r="A157" t="s">
        <v>326</v>
      </c>
      <c r="B157" t="s">
        <v>89</v>
      </c>
      <c r="C157" t="s">
        <v>27</v>
      </c>
      <c r="E157">
        <v>100845.11</v>
      </c>
      <c r="G157" s="1">
        <v>45349</v>
      </c>
      <c r="H157" t="s">
        <v>28</v>
      </c>
      <c r="I157" t="s">
        <v>327</v>
      </c>
    </row>
    <row r="158" spans="1:9" x14ac:dyDescent="0.35">
      <c r="B158" t="s">
        <v>213</v>
      </c>
      <c r="C158" t="s">
        <v>70</v>
      </c>
      <c r="E158">
        <v>136577.54999999999</v>
      </c>
      <c r="G158" s="1">
        <v>45470</v>
      </c>
      <c r="I158" t="s">
        <v>328</v>
      </c>
    </row>
    <row r="159" spans="1:9" x14ac:dyDescent="0.35">
      <c r="A159" t="s">
        <v>329</v>
      </c>
      <c r="B159" t="s">
        <v>11</v>
      </c>
      <c r="C159" t="s">
        <v>17</v>
      </c>
      <c r="E159">
        <v>192573.07</v>
      </c>
      <c r="G159" s="1">
        <v>45174</v>
      </c>
      <c r="H159" t="s">
        <v>9</v>
      </c>
      <c r="I159" t="s">
        <v>330</v>
      </c>
    </row>
    <row r="160" spans="1:9" x14ac:dyDescent="0.35">
      <c r="A160" t="s">
        <v>331</v>
      </c>
      <c r="B160" t="s">
        <v>31</v>
      </c>
      <c r="C160" t="s">
        <v>27</v>
      </c>
      <c r="E160">
        <v>157533.4</v>
      </c>
      <c r="G160" s="1">
        <v>45652</v>
      </c>
      <c r="H160" t="s">
        <v>13</v>
      </c>
      <c r="I160" t="s">
        <v>332</v>
      </c>
    </row>
    <row r="161" spans="1:9" x14ac:dyDescent="0.35">
      <c r="A161" t="s">
        <v>333</v>
      </c>
      <c r="B161" t="s">
        <v>109</v>
      </c>
      <c r="C161" t="s">
        <v>17</v>
      </c>
      <c r="E161">
        <v>266833.36</v>
      </c>
      <c r="G161" s="1">
        <v>45164</v>
      </c>
      <c r="I161" t="s">
        <v>334</v>
      </c>
    </row>
    <row r="162" spans="1:9" x14ac:dyDescent="0.35">
      <c r="A162" t="s">
        <v>335</v>
      </c>
      <c r="B162" t="s">
        <v>131</v>
      </c>
      <c r="C162" t="s">
        <v>1062</v>
      </c>
      <c r="D162">
        <v>47</v>
      </c>
      <c r="G162" s="1">
        <v>45240</v>
      </c>
      <c r="I162" t="s">
        <v>336</v>
      </c>
    </row>
    <row r="163" spans="1:9" x14ac:dyDescent="0.35">
      <c r="A163" t="s">
        <v>337</v>
      </c>
      <c r="B163" t="s">
        <v>20</v>
      </c>
      <c r="C163" t="s">
        <v>17</v>
      </c>
      <c r="D163">
        <v>56</v>
      </c>
      <c r="E163">
        <v>40692.879999999997</v>
      </c>
      <c r="F163">
        <v>2278801.2799999998</v>
      </c>
      <c r="G163" s="1">
        <v>45459</v>
      </c>
      <c r="H163" t="s">
        <v>9</v>
      </c>
      <c r="I163" t="s">
        <v>338</v>
      </c>
    </row>
    <row r="164" spans="1:9" x14ac:dyDescent="0.35">
      <c r="A164" t="s">
        <v>339</v>
      </c>
      <c r="B164" t="s">
        <v>1084</v>
      </c>
      <c r="C164" t="s">
        <v>90</v>
      </c>
      <c r="E164">
        <v>151511.70000000001</v>
      </c>
      <c r="G164" s="1">
        <v>45440</v>
      </c>
      <c r="H164" t="s">
        <v>9</v>
      </c>
      <c r="I164" t="s">
        <v>340</v>
      </c>
    </row>
    <row r="165" spans="1:9" x14ac:dyDescent="0.35">
      <c r="A165" t="s">
        <v>341</v>
      </c>
      <c r="B165" t="s">
        <v>20</v>
      </c>
      <c r="C165" t="s">
        <v>46</v>
      </c>
      <c r="E165">
        <v>82214.710000000006</v>
      </c>
      <c r="G165" s="1">
        <v>45494</v>
      </c>
      <c r="H165" t="s">
        <v>47</v>
      </c>
      <c r="I165" t="s">
        <v>342</v>
      </c>
    </row>
    <row r="166" spans="1:9" x14ac:dyDescent="0.35">
      <c r="A166" t="s">
        <v>343</v>
      </c>
      <c r="B166" t="s">
        <v>79</v>
      </c>
      <c r="C166" t="s">
        <v>23</v>
      </c>
      <c r="D166">
        <v>68</v>
      </c>
      <c r="E166">
        <v>242739.76</v>
      </c>
      <c r="F166">
        <v>16506303.68</v>
      </c>
      <c r="G166" s="1">
        <v>45478</v>
      </c>
      <c r="H166" t="s">
        <v>13</v>
      </c>
      <c r="I166" t="s">
        <v>344</v>
      </c>
    </row>
    <row r="167" spans="1:9" x14ac:dyDescent="0.35">
      <c r="A167" t="s">
        <v>345</v>
      </c>
      <c r="B167" t="s">
        <v>37</v>
      </c>
      <c r="C167" t="s">
        <v>27</v>
      </c>
      <c r="E167">
        <v>99539.89</v>
      </c>
      <c r="G167" s="1">
        <v>45276</v>
      </c>
      <c r="H167" t="s">
        <v>47</v>
      </c>
      <c r="I167" t="s">
        <v>346</v>
      </c>
    </row>
    <row r="168" spans="1:9" x14ac:dyDescent="0.35">
      <c r="A168" t="s">
        <v>347</v>
      </c>
      <c r="B168" t="s">
        <v>37</v>
      </c>
      <c r="C168" t="s">
        <v>70</v>
      </c>
      <c r="E168">
        <v>219470.21</v>
      </c>
      <c r="G168" s="1">
        <v>45382</v>
      </c>
      <c r="I168" t="s">
        <v>348</v>
      </c>
    </row>
    <row r="169" spans="1:9" x14ac:dyDescent="0.35">
      <c r="A169" t="s">
        <v>349</v>
      </c>
      <c r="B169" t="s">
        <v>213</v>
      </c>
      <c r="C169" t="s">
        <v>27</v>
      </c>
      <c r="E169">
        <v>194661.46</v>
      </c>
      <c r="G169" s="1">
        <v>45589</v>
      </c>
      <c r="H169" t="s">
        <v>9</v>
      </c>
      <c r="I169" t="s">
        <v>350</v>
      </c>
    </row>
    <row r="170" spans="1:9" x14ac:dyDescent="0.35">
      <c r="A170" t="s">
        <v>351</v>
      </c>
      <c r="B170" t="s">
        <v>37</v>
      </c>
      <c r="C170" t="s">
        <v>1075</v>
      </c>
      <c r="D170">
        <v>100</v>
      </c>
      <c r="E170">
        <v>215720.15</v>
      </c>
      <c r="F170">
        <v>21572015</v>
      </c>
      <c r="G170" s="1">
        <v>45229</v>
      </c>
    </row>
    <row r="171" spans="1:9" x14ac:dyDescent="0.35">
      <c r="B171" t="s">
        <v>34</v>
      </c>
      <c r="C171" t="s">
        <v>55</v>
      </c>
      <c r="E171">
        <v>4718.22</v>
      </c>
      <c r="G171" s="1">
        <v>45360</v>
      </c>
      <c r="H171" t="s">
        <v>28</v>
      </c>
      <c r="I171" t="s">
        <v>352</v>
      </c>
    </row>
    <row r="172" spans="1:9" x14ac:dyDescent="0.35">
      <c r="A172" t="s">
        <v>353</v>
      </c>
      <c r="B172" t="s">
        <v>26</v>
      </c>
      <c r="C172" t="s">
        <v>17</v>
      </c>
      <c r="D172">
        <v>82</v>
      </c>
      <c r="G172" s="1">
        <v>45787</v>
      </c>
      <c r="H172" t="s">
        <v>13</v>
      </c>
      <c r="I172" t="s">
        <v>354</v>
      </c>
    </row>
    <row r="173" spans="1:9" x14ac:dyDescent="0.35">
      <c r="A173" t="s">
        <v>355</v>
      </c>
      <c r="B173" t="s">
        <v>1079</v>
      </c>
      <c r="C173" t="s">
        <v>55</v>
      </c>
      <c r="E173">
        <v>101465.1</v>
      </c>
      <c r="G173" s="1">
        <v>45675</v>
      </c>
      <c r="H173" t="s">
        <v>28</v>
      </c>
      <c r="I173" t="s">
        <v>356</v>
      </c>
    </row>
    <row r="174" spans="1:9" x14ac:dyDescent="0.35">
      <c r="A174" t="s">
        <v>357</v>
      </c>
      <c r="B174" t="s">
        <v>213</v>
      </c>
      <c r="C174" t="s">
        <v>70</v>
      </c>
      <c r="E174">
        <v>88859.77</v>
      </c>
      <c r="G174" s="1">
        <v>45366</v>
      </c>
      <c r="H174" t="s">
        <v>9</v>
      </c>
      <c r="I174" t="s">
        <v>358</v>
      </c>
    </row>
    <row r="175" spans="1:9" x14ac:dyDescent="0.35">
      <c r="A175" t="s">
        <v>359</v>
      </c>
      <c r="B175" t="s">
        <v>34</v>
      </c>
      <c r="C175" t="s">
        <v>55</v>
      </c>
      <c r="E175">
        <v>202483.14</v>
      </c>
      <c r="G175" s="1">
        <v>45688</v>
      </c>
      <c r="H175" t="s">
        <v>9</v>
      </c>
      <c r="I175" t="s">
        <v>360</v>
      </c>
    </row>
    <row r="176" spans="1:9" x14ac:dyDescent="0.35">
      <c r="A176" t="s">
        <v>361</v>
      </c>
      <c r="B176" t="s">
        <v>85</v>
      </c>
      <c r="C176" t="s">
        <v>55</v>
      </c>
      <c r="D176">
        <v>83</v>
      </c>
      <c r="E176">
        <v>58351.81</v>
      </c>
      <c r="F176">
        <v>4843200.2300000004</v>
      </c>
      <c r="G176" s="1">
        <v>45786</v>
      </c>
      <c r="H176" t="s">
        <v>9</v>
      </c>
      <c r="I176" t="s">
        <v>362</v>
      </c>
    </row>
    <row r="177" spans="1:9" x14ac:dyDescent="0.35">
      <c r="A177" t="s">
        <v>363</v>
      </c>
      <c r="B177" t="s">
        <v>16</v>
      </c>
      <c r="C177" t="s">
        <v>17</v>
      </c>
      <c r="D177">
        <v>31</v>
      </c>
      <c r="E177">
        <v>183480.87</v>
      </c>
      <c r="F177">
        <v>5687906.9699999997</v>
      </c>
      <c r="G177" s="1">
        <v>45386</v>
      </c>
      <c r="H177" t="s">
        <v>13</v>
      </c>
      <c r="I177" t="s">
        <v>364</v>
      </c>
    </row>
    <row r="178" spans="1:9" x14ac:dyDescent="0.35">
      <c r="A178" t="s">
        <v>365</v>
      </c>
      <c r="B178" t="s">
        <v>58</v>
      </c>
      <c r="C178" t="s">
        <v>1075</v>
      </c>
      <c r="E178">
        <v>191798.38</v>
      </c>
      <c r="G178" s="1">
        <v>45427</v>
      </c>
      <c r="H178" t="s">
        <v>47</v>
      </c>
      <c r="I178" t="s">
        <v>366</v>
      </c>
    </row>
    <row r="179" spans="1:9" x14ac:dyDescent="0.35">
      <c r="A179" t="s">
        <v>367</v>
      </c>
      <c r="B179" t="s">
        <v>61</v>
      </c>
      <c r="C179" t="s">
        <v>23</v>
      </c>
      <c r="D179">
        <v>26</v>
      </c>
      <c r="E179">
        <v>121944.37</v>
      </c>
      <c r="F179">
        <v>3170553.62</v>
      </c>
      <c r="G179" s="1">
        <v>45219</v>
      </c>
      <c r="I179" t="s">
        <v>368</v>
      </c>
    </row>
    <row r="180" spans="1:9" x14ac:dyDescent="0.35">
      <c r="A180" t="s">
        <v>369</v>
      </c>
      <c r="B180" t="s">
        <v>42</v>
      </c>
      <c r="C180" t="s">
        <v>23</v>
      </c>
      <c r="D180">
        <v>78</v>
      </c>
      <c r="E180">
        <v>128597.12</v>
      </c>
      <c r="F180">
        <v>10030575.359999999</v>
      </c>
      <c r="G180" s="1">
        <v>45708</v>
      </c>
      <c r="I180" t="s">
        <v>370</v>
      </c>
    </row>
    <row r="181" spans="1:9" x14ac:dyDescent="0.35">
      <c r="A181" t="s">
        <v>371</v>
      </c>
      <c r="B181" t="s">
        <v>53</v>
      </c>
      <c r="C181" t="s">
        <v>27</v>
      </c>
      <c r="E181">
        <v>98714.03</v>
      </c>
      <c r="G181" s="1">
        <v>45405</v>
      </c>
      <c r="I181" t="s">
        <v>372</v>
      </c>
    </row>
    <row r="182" spans="1:9" x14ac:dyDescent="0.35">
      <c r="A182" t="s">
        <v>373</v>
      </c>
      <c r="B182" t="s">
        <v>1071</v>
      </c>
      <c r="C182" t="s">
        <v>46</v>
      </c>
      <c r="D182">
        <v>10</v>
      </c>
      <c r="G182" s="1">
        <v>45517</v>
      </c>
      <c r="I182" t="s">
        <v>374</v>
      </c>
    </row>
    <row r="183" spans="1:9" x14ac:dyDescent="0.35">
      <c r="A183" t="s">
        <v>375</v>
      </c>
      <c r="B183" t="s">
        <v>53</v>
      </c>
      <c r="C183" t="s">
        <v>27</v>
      </c>
      <c r="E183">
        <v>120549.56</v>
      </c>
      <c r="G183" s="1">
        <v>45554</v>
      </c>
      <c r="I183" t="s">
        <v>376</v>
      </c>
    </row>
    <row r="184" spans="1:9" x14ac:dyDescent="0.35">
      <c r="B184" t="s">
        <v>131</v>
      </c>
      <c r="C184" t="s">
        <v>55</v>
      </c>
      <c r="E184">
        <v>29067.84</v>
      </c>
      <c r="G184" s="1">
        <v>45200</v>
      </c>
      <c r="H184" t="s">
        <v>47</v>
      </c>
    </row>
    <row r="185" spans="1:9" x14ac:dyDescent="0.35">
      <c r="A185" t="s">
        <v>377</v>
      </c>
      <c r="B185" t="s">
        <v>105</v>
      </c>
      <c r="C185" t="s">
        <v>46</v>
      </c>
      <c r="E185">
        <v>294514.71999999997</v>
      </c>
      <c r="G185" s="1">
        <v>45365</v>
      </c>
      <c r="H185" t="s">
        <v>28</v>
      </c>
      <c r="I185" t="s">
        <v>378</v>
      </c>
    </row>
    <row r="186" spans="1:9" x14ac:dyDescent="0.35">
      <c r="A186" t="s">
        <v>379</v>
      </c>
      <c r="B186" t="s">
        <v>109</v>
      </c>
      <c r="C186" t="s">
        <v>1078</v>
      </c>
      <c r="E186">
        <v>143497.5</v>
      </c>
      <c r="G186" s="1">
        <v>45305</v>
      </c>
      <c r="H186" t="s">
        <v>13</v>
      </c>
      <c r="I186" t="s">
        <v>380</v>
      </c>
    </row>
    <row r="187" spans="1:9" x14ac:dyDescent="0.35">
      <c r="A187" t="s">
        <v>381</v>
      </c>
      <c r="B187" t="s">
        <v>76</v>
      </c>
      <c r="C187" t="s">
        <v>27</v>
      </c>
      <c r="E187">
        <v>280779.7</v>
      </c>
      <c r="G187" s="1">
        <v>45480</v>
      </c>
      <c r="H187" t="s">
        <v>28</v>
      </c>
      <c r="I187" t="s">
        <v>382</v>
      </c>
    </row>
    <row r="188" spans="1:9" x14ac:dyDescent="0.35">
      <c r="A188" t="s">
        <v>383</v>
      </c>
      <c r="B188" t="s">
        <v>58</v>
      </c>
      <c r="C188" t="s">
        <v>27</v>
      </c>
      <c r="E188">
        <v>2545.62</v>
      </c>
      <c r="G188" s="1">
        <v>45213</v>
      </c>
      <c r="H188" t="s">
        <v>28</v>
      </c>
      <c r="I188" t="s">
        <v>384</v>
      </c>
    </row>
    <row r="189" spans="1:9" x14ac:dyDescent="0.35">
      <c r="A189" t="s">
        <v>385</v>
      </c>
      <c r="B189" t="s">
        <v>76</v>
      </c>
      <c r="C189" t="s">
        <v>17</v>
      </c>
      <c r="E189">
        <v>115380.53</v>
      </c>
      <c r="G189" s="1">
        <v>45325</v>
      </c>
      <c r="I189" t="s">
        <v>386</v>
      </c>
    </row>
    <row r="190" spans="1:9" x14ac:dyDescent="0.35">
      <c r="A190" t="s">
        <v>387</v>
      </c>
      <c r="B190" t="s">
        <v>31</v>
      </c>
      <c r="C190" t="s">
        <v>23</v>
      </c>
      <c r="E190">
        <v>134297.29</v>
      </c>
      <c r="G190" s="1">
        <v>45467</v>
      </c>
      <c r="I190" t="s">
        <v>388</v>
      </c>
    </row>
    <row r="191" spans="1:9" x14ac:dyDescent="0.35">
      <c r="A191" t="s">
        <v>389</v>
      </c>
      <c r="B191" t="s">
        <v>1077</v>
      </c>
      <c r="C191" t="s">
        <v>23</v>
      </c>
      <c r="D191">
        <v>41</v>
      </c>
      <c r="E191">
        <v>80464.800000000003</v>
      </c>
      <c r="F191">
        <v>3299056.8</v>
      </c>
      <c r="G191" s="1">
        <v>45310</v>
      </c>
      <c r="H191" t="s">
        <v>47</v>
      </c>
      <c r="I191" t="s">
        <v>390</v>
      </c>
    </row>
    <row r="192" spans="1:9" x14ac:dyDescent="0.35">
      <c r="A192" t="s">
        <v>391</v>
      </c>
      <c r="B192" t="s">
        <v>20</v>
      </c>
      <c r="C192" t="s">
        <v>46</v>
      </c>
      <c r="D192">
        <v>57</v>
      </c>
      <c r="G192" s="1">
        <v>45227</v>
      </c>
      <c r="H192" t="s">
        <v>13</v>
      </c>
      <c r="I192" t="s">
        <v>392</v>
      </c>
    </row>
    <row r="193" spans="1:9" x14ac:dyDescent="0.35">
      <c r="A193" t="s">
        <v>393</v>
      </c>
      <c r="B193" t="s">
        <v>37</v>
      </c>
      <c r="C193" t="s">
        <v>27</v>
      </c>
      <c r="E193">
        <v>99222.78</v>
      </c>
      <c r="G193" s="1">
        <v>45193</v>
      </c>
      <c r="H193" t="s">
        <v>9</v>
      </c>
      <c r="I193" t="s">
        <v>394</v>
      </c>
    </row>
    <row r="194" spans="1:9" x14ac:dyDescent="0.35">
      <c r="A194" t="s">
        <v>395</v>
      </c>
      <c r="B194" t="s">
        <v>89</v>
      </c>
      <c r="C194" t="s">
        <v>1075</v>
      </c>
      <c r="E194">
        <v>174947</v>
      </c>
      <c r="G194" s="1">
        <v>45157</v>
      </c>
      <c r="H194" t="s">
        <v>28</v>
      </c>
      <c r="I194" t="s">
        <v>396</v>
      </c>
    </row>
    <row r="195" spans="1:9" x14ac:dyDescent="0.35">
      <c r="A195" t="s">
        <v>397</v>
      </c>
      <c r="B195" t="s">
        <v>11</v>
      </c>
      <c r="C195" t="s">
        <v>27</v>
      </c>
      <c r="E195">
        <v>172076.77</v>
      </c>
      <c r="G195" s="1">
        <v>45343</v>
      </c>
      <c r="H195" t="s">
        <v>9</v>
      </c>
      <c r="I195" t="s">
        <v>398</v>
      </c>
    </row>
    <row r="196" spans="1:9" x14ac:dyDescent="0.35">
      <c r="A196" t="s">
        <v>399</v>
      </c>
      <c r="B196" t="s">
        <v>79</v>
      </c>
      <c r="C196" t="s">
        <v>55</v>
      </c>
      <c r="E196">
        <v>78835.17</v>
      </c>
      <c r="G196" s="1">
        <v>45416</v>
      </c>
      <c r="H196" t="s">
        <v>13</v>
      </c>
      <c r="I196" t="s">
        <v>400</v>
      </c>
    </row>
    <row r="197" spans="1:9" x14ac:dyDescent="0.35">
      <c r="B197" t="s">
        <v>34</v>
      </c>
      <c r="C197" t="s">
        <v>12</v>
      </c>
      <c r="D197">
        <v>65</v>
      </c>
      <c r="E197">
        <v>108185.85</v>
      </c>
      <c r="F197">
        <v>7032080.25</v>
      </c>
      <c r="G197" s="1">
        <v>45789</v>
      </c>
      <c r="H197" t="s">
        <v>28</v>
      </c>
      <c r="I197" t="s">
        <v>401</v>
      </c>
    </row>
    <row r="198" spans="1:9" x14ac:dyDescent="0.35">
      <c r="A198" t="s">
        <v>402</v>
      </c>
      <c r="B198" t="s">
        <v>20</v>
      </c>
      <c r="C198" t="s">
        <v>23</v>
      </c>
      <c r="E198">
        <v>71272.62</v>
      </c>
      <c r="G198" s="1">
        <v>45595</v>
      </c>
      <c r="H198" t="s">
        <v>9</v>
      </c>
    </row>
    <row r="199" spans="1:9" x14ac:dyDescent="0.35">
      <c r="A199" t="s">
        <v>403</v>
      </c>
      <c r="B199" t="s">
        <v>79</v>
      </c>
      <c r="C199" t="s">
        <v>90</v>
      </c>
      <c r="D199">
        <v>58</v>
      </c>
      <c r="E199">
        <v>200501.94</v>
      </c>
      <c r="F199">
        <v>11629112.52</v>
      </c>
      <c r="G199" s="1">
        <v>45442</v>
      </c>
      <c r="H199" t="s">
        <v>9</v>
      </c>
      <c r="I199" t="s">
        <v>404</v>
      </c>
    </row>
    <row r="200" spans="1:9" x14ac:dyDescent="0.35">
      <c r="A200" t="s">
        <v>405</v>
      </c>
      <c r="B200" t="s">
        <v>1077</v>
      </c>
      <c r="C200" t="s">
        <v>12</v>
      </c>
      <c r="E200">
        <v>139885.79999999999</v>
      </c>
      <c r="G200" s="1">
        <v>45310</v>
      </c>
      <c r="H200" t="s">
        <v>47</v>
      </c>
      <c r="I200" t="s">
        <v>406</v>
      </c>
    </row>
    <row r="201" spans="1:9" x14ac:dyDescent="0.35">
      <c r="A201" t="s">
        <v>407</v>
      </c>
      <c r="B201" t="s">
        <v>11</v>
      </c>
      <c r="C201" t="s">
        <v>23</v>
      </c>
      <c r="D201">
        <v>37</v>
      </c>
      <c r="E201">
        <v>48335.19</v>
      </c>
      <c r="F201">
        <v>1788402.03</v>
      </c>
      <c r="G201" s="1">
        <v>45790</v>
      </c>
      <c r="H201" t="s">
        <v>13</v>
      </c>
      <c r="I201" t="s">
        <v>408</v>
      </c>
    </row>
    <row r="202" spans="1:9" x14ac:dyDescent="0.35">
      <c r="A202" t="s">
        <v>409</v>
      </c>
      <c r="B202" t="s">
        <v>37</v>
      </c>
      <c r="C202" t="s">
        <v>1072</v>
      </c>
      <c r="D202">
        <v>83</v>
      </c>
      <c r="G202" s="1">
        <v>45818</v>
      </c>
      <c r="H202" t="s">
        <v>13</v>
      </c>
      <c r="I202" t="s">
        <v>410</v>
      </c>
    </row>
    <row r="203" spans="1:9" x14ac:dyDescent="0.35">
      <c r="A203" t="s">
        <v>411</v>
      </c>
      <c r="B203" t="s">
        <v>45</v>
      </c>
      <c r="C203" t="s">
        <v>90</v>
      </c>
      <c r="E203">
        <v>205979.05</v>
      </c>
      <c r="G203" s="1">
        <v>45242</v>
      </c>
      <c r="H203" t="s">
        <v>13</v>
      </c>
      <c r="I203" t="s">
        <v>412</v>
      </c>
    </row>
    <row r="204" spans="1:9" x14ac:dyDescent="0.35">
      <c r="A204" t="s">
        <v>413</v>
      </c>
      <c r="B204" t="s">
        <v>20</v>
      </c>
      <c r="C204" t="s">
        <v>23</v>
      </c>
      <c r="E204">
        <v>276970.25</v>
      </c>
      <c r="G204" s="1">
        <v>45749</v>
      </c>
      <c r="H204" t="s">
        <v>28</v>
      </c>
      <c r="I204" t="s">
        <v>414</v>
      </c>
    </row>
    <row r="205" spans="1:9" x14ac:dyDescent="0.35">
      <c r="A205" t="s">
        <v>415</v>
      </c>
      <c r="B205" t="s">
        <v>37</v>
      </c>
      <c r="C205" t="s">
        <v>12</v>
      </c>
      <c r="E205">
        <v>266396.52</v>
      </c>
      <c r="G205" s="1">
        <v>45372</v>
      </c>
      <c r="H205" t="s">
        <v>47</v>
      </c>
      <c r="I205" t="s">
        <v>416</v>
      </c>
    </row>
    <row r="206" spans="1:9" x14ac:dyDescent="0.35">
      <c r="A206" t="s">
        <v>417</v>
      </c>
      <c r="B206" t="s">
        <v>45</v>
      </c>
      <c r="C206" t="s">
        <v>17</v>
      </c>
      <c r="E206">
        <v>231067.39</v>
      </c>
      <c r="G206" s="1">
        <v>45843</v>
      </c>
      <c r="I206" t="s">
        <v>418</v>
      </c>
    </row>
    <row r="207" spans="1:9" x14ac:dyDescent="0.35">
      <c r="A207" t="s">
        <v>419</v>
      </c>
      <c r="B207" t="s">
        <v>89</v>
      </c>
      <c r="C207" t="s">
        <v>46</v>
      </c>
      <c r="E207">
        <v>207241.97</v>
      </c>
      <c r="G207" s="1">
        <v>45566</v>
      </c>
      <c r="H207" t="s">
        <v>28</v>
      </c>
      <c r="I207" t="s">
        <v>420</v>
      </c>
    </row>
    <row r="208" spans="1:9" x14ac:dyDescent="0.35">
      <c r="A208" t="s">
        <v>421</v>
      </c>
      <c r="B208" t="s">
        <v>37</v>
      </c>
      <c r="C208" t="s">
        <v>90</v>
      </c>
      <c r="E208">
        <v>191794.04</v>
      </c>
      <c r="G208" s="1">
        <v>45678</v>
      </c>
      <c r="H208" t="s">
        <v>13</v>
      </c>
      <c r="I208" t="s">
        <v>422</v>
      </c>
    </row>
    <row r="209" spans="1:9" x14ac:dyDescent="0.35">
      <c r="A209" t="s">
        <v>423</v>
      </c>
      <c r="B209" t="s">
        <v>1085</v>
      </c>
      <c r="C209" t="s">
        <v>23</v>
      </c>
      <c r="E209">
        <v>282220.37</v>
      </c>
      <c r="G209" s="1">
        <v>45360</v>
      </c>
      <c r="H209" t="s">
        <v>28</v>
      </c>
      <c r="I209" t="s">
        <v>424</v>
      </c>
    </row>
    <row r="210" spans="1:9" x14ac:dyDescent="0.35">
      <c r="B210" t="s">
        <v>20</v>
      </c>
      <c r="C210" t="s">
        <v>1062</v>
      </c>
      <c r="E210">
        <v>110579.4</v>
      </c>
      <c r="G210" s="1">
        <v>45265</v>
      </c>
      <c r="H210" t="s">
        <v>9</v>
      </c>
      <c r="I210" t="s">
        <v>425</v>
      </c>
    </row>
    <row r="211" spans="1:9" x14ac:dyDescent="0.35">
      <c r="A211" t="s">
        <v>426</v>
      </c>
      <c r="B211" t="s">
        <v>16</v>
      </c>
      <c r="C211" t="s">
        <v>17</v>
      </c>
      <c r="D211">
        <v>65</v>
      </c>
      <c r="E211">
        <v>66644.350000000006</v>
      </c>
      <c r="F211">
        <v>4331882.75</v>
      </c>
      <c r="G211" s="1">
        <v>45710</v>
      </c>
      <c r="H211" t="s">
        <v>28</v>
      </c>
      <c r="I211" t="s">
        <v>427</v>
      </c>
    </row>
    <row r="212" spans="1:9" x14ac:dyDescent="0.35">
      <c r="A212" t="s">
        <v>428</v>
      </c>
      <c r="B212" t="s">
        <v>213</v>
      </c>
      <c r="C212" t="s">
        <v>17</v>
      </c>
      <c r="G212" s="1">
        <v>45241</v>
      </c>
      <c r="H212" t="s">
        <v>28</v>
      </c>
    </row>
    <row r="213" spans="1:9" x14ac:dyDescent="0.35">
      <c r="A213" t="s">
        <v>429</v>
      </c>
      <c r="B213" t="s">
        <v>53</v>
      </c>
      <c r="C213" t="s">
        <v>55</v>
      </c>
      <c r="E213">
        <v>287229.48</v>
      </c>
      <c r="G213" s="1">
        <v>45505</v>
      </c>
      <c r="H213" t="s">
        <v>13</v>
      </c>
      <c r="I213" t="s">
        <v>430</v>
      </c>
    </row>
    <row r="214" spans="1:9" x14ac:dyDescent="0.35">
      <c r="A214" t="s">
        <v>431</v>
      </c>
      <c r="B214" t="s">
        <v>34</v>
      </c>
      <c r="C214" t="s">
        <v>12</v>
      </c>
      <c r="D214">
        <v>92</v>
      </c>
      <c r="E214">
        <v>143715.48000000001</v>
      </c>
      <c r="F214">
        <v>13221824.16</v>
      </c>
      <c r="G214" s="1">
        <v>45517</v>
      </c>
      <c r="H214" t="s">
        <v>9</v>
      </c>
      <c r="I214" t="s">
        <v>432</v>
      </c>
    </row>
    <row r="215" spans="1:9" x14ac:dyDescent="0.35">
      <c r="A215" t="s">
        <v>433</v>
      </c>
      <c r="B215" t="s">
        <v>26</v>
      </c>
      <c r="C215" t="s">
        <v>90</v>
      </c>
      <c r="E215">
        <v>136766.10999999999</v>
      </c>
      <c r="G215" s="1">
        <v>45480</v>
      </c>
      <c r="H215" t="s">
        <v>13</v>
      </c>
      <c r="I215" t="s">
        <v>434</v>
      </c>
    </row>
    <row r="216" spans="1:9" x14ac:dyDescent="0.35">
      <c r="A216" t="s">
        <v>435</v>
      </c>
      <c r="B216" t="s">
        <v>79</v>
      </c>
      <c r="C216" t="s">
        <v>23</v>
      </c>
      <c r="D216">
        <v>23</v>
      </c>
      <c r="E216">
        <v>296656.96999999997</v>
      </c>
      <c r="F216">
        <v>6823110.3099999996</v>
      </c>
      <c r="G216" s="1">
        <v>45505</v>
      </c>
      <c r="H216" t="s">
        <v>9</v>
      </c>
      <c r="I216" t="s">
        <v>436</v>
      </c>
    </row>
    <row r="217" spans="1:9" x14ac:dyDescent="0.35">
      <c r="A217" t="s">
        <v>437</v>
      </c>
      <c r="B217" t="s">
        <v>79</v>
      </c>
      <c r="C217" t="s">
        <v>17</v>
      </c>
      <c r="E217">
        <v>112400.64</v>
      </c>
      <c r="G217" s="1">
        <v>45800</v>
      </c>
      <c r="H217" t="s">
        <v>9</v>
      </c>
      <c r="I217" t="s">
        <v>438</v>
      </c>
    </row>
    <row r="218" spans="1:9" x14ac:dyDescent="0.35">
      <c r="A218" t="s">
        <v>439</v>
      </c>
      <c r="B218" t="s">
        <v>1086</v>
      </c>
      <c r="C218" t="s">
        <v>1068</v>
      </c>
      <c r="E218">
        <v>210731.25</v>
      </c>
      <c r="G218" s="1">
        <v>45357</v>
      </c>
      <c r="H218" t="s">
        <v>9</v>
      </c>
      <c r="I218" t="s">
        <v>440</v>
      </c>
    </row>
    <row r="219" spans="1:9" x14ac:dyDescent="0.35">
      <c r="A219" t="s">
        <v>441</v>
      </c>
      <c r="B219" t="s">
        <v>20</v>
      </c>
      <c r="C219" t="s">
        <v>46</v>
      </c>
      <c r="E219">
        <v>273882.67</v>
      </c>
      <c r="G219" s="1">
        <v>45504</v>
      </c>
      <c r="H219" t="s">
        <v>13</v>
      </c>
      <c r="I219" t="s">
        <v>442</v>
      </c>
    </row>
    <row r="220" spans="1:9" x14ac:dyDescent="0.35">
      <c r="A220" t="s">
        <v>1087</v>
      </c>
      <c r="B220" t="s">
        <v>213</v>
      </c>
      <c r="C220" t="s">
        <v>70</v>
      </c>
      <c r="D220">
        <v>79</v>
      </c>
      <c r="E220">
        <v>227326.48</v>
      </c>
      <c r="F220">
        <v>17958791.920000002</v>
      </c>
      <c r="G220" s="1">
        <v>45136</v>
      </c>
      <c r="H220" t="s">
        <v>9</v>
      </c>
      <c r="I220" t="s">
        <v>443</v>
      </c>
    </row>
    <row r="221" spans="1:9" x14ac:dyDescent="0.35">
      <c r="A221" t="s">
        <v>444</v>
      </c>
      <c r="B221" t="s">
        <v>42</v>
      </c>
      <c r="C221" t="s">
        <v>17</v>
      </c>
      <c r="E221">
        <v>240697.5</v>
      </c>
      <c r="G221" s="1">
        <v>45187</v>
      </c>
      <c r="H221" t="s">
        <v>47</v>
      </c>
      <c r="I221" t="s">
        <v>445</v>
      </c>
    </row>
    <row r="222" spans="1:9" x14ac:dyDescent="0.35">
      <c r="A222" t="s">
        <v>446</v>
      </c>
      <c r="B222" t="s">
        <v>53</v>
      </c>
      <c r="C222" t="s">
        <v>46</v>
      </c>
      <c r="G222" s="1">
        <v>45423</v>
      </c>
      <c r="H222" t="s">
        <v>47</v>
      </c>
      <c r="I222" t="s">
        <v>447</v>
      </c>
    </row>
    <row r="223" spans="1:9" x14ac:dyDescent="0.35">
      <c r="B223" t="s">
        <v>31</v>
      </c>
      <c r="C223" t="s">
        <v>90</v>
      </c>
      <c r="E223">
        <v>247768.25</v>
      </c>
      <c r="G223" s="1">
        <v>45510</v>
      </c>
      <c r="I223" t="s">
        <v>448</v>
      </c>
    </row>
    <row r="224" spans="1:9" x14ac:dyDescent="0.35">
      <c r="A224" t="s">
        <v>449</v>
      </c>
      <c r="B224" t="s">
        <v>31</v>
      </c>
      <c r="C224" t="s">
        <v>12</v>
      </c>
      <c r="E224">
        <v>228676.96</v>
      </c>
      <c r="G224" s="1">
        <v>45473</v>
      </c>
      <c r="H224" t="s">
        <v>47</v>
      </c>
      <c r="I224" t="s">
        <v>450</v>
      </c>
    </row>
    <row r="225" spans="1:9" x14ac:dyDescent="0.35">
      <c r="A225" t="s">
        <v>451</v>
      </c>
      <c r="B225" t="s">
        <v>42</v>
      </c>
      <c r="C225" t="s">
        <v>12</v>
      </c>
      <c r="E225">
        <v>204262.41</v>
      </c>
      <c r="G225" s="1">
        <v>45304</v>
      </c>
      <c r="I225" t="s">
        <v>452</v>
      </c>
    </row>
    <row r="226" spans="1:9" x14ac:dyDescent="0.35">
      <c r="A226" t="s">
        <v>453</v>
      </c>
      <c r="B226" t="s">
        <v>109</v>
      </c>
      <c r="C226" t="s">
        <v>1075</v>
      </c>
      <c r="E226">
        <v>178946.43</v>
      </c>
      <c r="G226" s="1">
        <v>45285</v>
      </c>
      <c r="H226" t="s">
        <v>47</v>
      </c>
    </row>
    <row r="227" spans="1:9" x14ac:dyDescent="0.35">
      <c r="A227" t="s">
        <v>454</v>
      </c>
      <c r="B227" t="s">
        <v>1082</v>
      </c>
      <c r="C227" t="s">
        <v>46</v>
      </c>
      <c r="E227">
        <v>236317.52</v>
      </c>
      <c r="G227" s="1">
        <v>45571</v>
      </c>
      <c r="H227" t="s">
        <v>13</v>
      </c>
      <c r="I227" t="s">
        <v>455</v>
      </c>
    </row>
    <row r="228" spans="1:9" x14ac:dyDescent="0.35">
      <c r="A228" t="s">
        <v>456</v>
      </c>
      <c r="B228" t="s">
        <v>42</v>
      </c>
      <c r="C228" t="s">
        <v>27</v>
      </c>
      <c r="E228">
        <v>157889.24</v>
      </c>
      <c r="G228" s="1">
        <v>45392</v>
      </c>
      <c r="I228" t="s">
        <v>457</v>
      </c>
    </row>
    <row r="229" spans="1:9" x14ac:dyDescent="0.35">
      <c r="A229" t="s">
        <v>458</v>
      </c>
      <c r="B229" t="s">
        <v>76</v>
      </c>
      <c r="C229" t="s">
        <v>46</v>
      </c>
      <c r="E229">
        <v>158687.85</v>
      </c>
      <c r="G229" s="1">
        <v>45155</v>
      </c>
      <c r="H229" t="s">
        <v>28</v>
      </c>
      <c r="I229" t="s">
        <v>459</v>
      </c>
    </row>
    <row r="230" spans="1:9" x14ac:dyDescent="0.35">
      <c r="A230" t="s">
        <v>460</v>
      </c>
      <c r="B230" t="s">
        <v>45</v>
      </c>
      <c r="C230" t="s">
        <v>70</v>
      </c>
      <c r="E230">
        <v>108854.57</v>
      </c>
      <c r="G230" s="1">
        <v>45157</v>
      </c>
      <c r="H230" t="s">
        <v>28</v>
      </c>
      <c r="I230" t="s">
        <v>461</v>
      </c>
    </row>
    <row r="231" spans="1:9" x14ac:dyDescent="0.35">
      <c r="A231" t="s">
        <v>462</v>
      </c>
      <c r="B231" t="s">
        <v>31</v>
      </c>
      <c r="C231" t="s">
        <v>27</v>
      </c>
      <c r="E231">
        <v>275214.78999999998</v>
      </c>
      <c r="G231" s="1">
        <v>45336</v>
      </c>
      <c r="H231" t="s">
        <v>47</v>
      </c>
      <c r="I231" t="s">
        <v>463</v>
      </c>
    </row>
    <row r="232" spans="1:9" x14ac:dyDescent="0.35">
      <c r="A232" t="s">
        <v>464</v>
      </c>
      <c r="B232" t="s">
        <v>45</v>
      </c>
      <c r="C232" t="s">
        <v>70</v>
      </c>
      <c r="D232">
        <v>78</v>
      </c>
      <c r="G232" s="1">
        <v>45502</v>
      </c>
      <c r="H232" t="s">
        <v>28</v>
      </c>
      <c r="I232" t="s">
        <v>465</v>
      </c>
    </row>
    <row r="233" spans="1:9" x14ac:dyDescent="0.35">
      <c r="A233" t="s">
        <v>466</v>
      </c>
      <c r="B233" t="s">
        <v>105</v>
      </c>
      <c r="C233" t="s">
        <v>17</v>
      </c>
      <c r="D233">
        <v>43</v>
      </c>
      <c r="E233">
        <v>34106.53</v>
      </c>
      <c r="F233">
        <v>1466580.79</v>
      </c>
      <c r="G233" s="1">
        <v>45582</v>
      </c>
      <c r="H233" t="s">
        <v>47</v>
      </c>
      <c r="I233" t="s">
        <v>467</v>
      </c>
    </row>
    <row r="234" spans="1:9" x14ac:dyDescent="0.35">
      <c r="A234" t="s">
        <v>468</v>
      </c>
      <c r="B234" t="s">
        <v>89</v>
      </c>
      <c r="C234" t="s">
        <v>1062</v>
      </c>
      <c r="E234">
        <v>248717.83</v>
      </c>
      <c r="G234" s="1">
        <v>45803</v>
      </c>
      <c r="H234" t="s">
        <v>47</v>
      </c>
      <c r="I234" t="s">
        <v>469</v>
      </c>
    </row>
    <row r="235" spans="1:9" x14ac:dyDescent="0.35">
      <c r="A235" t="s">
        <v>470</v>
      </c>
      <c r="B235" t="s">
        <v>31</v>
      </c>
      <c r="C235" t="s">
        <v>23</v>
      </c>
      <c r="E235">
        <v>270915</v>
      </c>
      <c r="G235" s="1">
        <v>45772</v>
      </c>
      <c r="H235" t="s">
        <v>28</v>
      </c>
      <c r="I235" t="s">
        <v>471</v>
      </c>
    </row>
    <row r="236" spans="1:9" x14ac:dyDescent="0.35">
      <c r="B236" t="s">
        <v>1077</v>
      </c>
      <c r="C236" t="s">
        <v>70</v>
      </c>
      <c r="E236">
        <v>61045.96</v>
      </c>
      <c r="G236" s="1">
        <v>45626</v>
      </c>
      <c r="H236" t="s">
        <v>28</v>
      </c>
      <c r="I236" t="s">
        <v>472</v>
      </c>
    </row>
    <row r="237" spans="1:9" x14ac:dyDescent="0.35">
      <c r="A237" t="s">
        <v>473</v>
      </c>
      <c r="B237" t="s">
        <v>53</v>
      </c>
      <c r="C237" t="s">
        <v>23</v>
      </c>
      <c r="E237">
        <v>161229.72</v>
      </c>
      <c r="G237" s="1">
        <v>45640</v>
      </c>
      <c r="H237" t="s">
        <v>9</v>
      </c>
      <c r="I237" t="s">
        <v>474</v>
      </c>
    </row>
    <row r="238" spans="1:9" x14ac:dyDescent="0.35">
      <c r="A238" t="s">
        <v>475</v>
      </c>
      <c r="B238" t="s">
        <v>53</v>
      </c>
      <c r="C238" t="s">
        <v>90</v>
      </c>
      <c r="D238">
        <v>51</v>
      </c>
      <c r="E238">
        <v>49778.879999999997</v>
      </c>
      <c r="F238">
        <v>2538722.88</v>
      </c>
      <c r="G238" s="1">
        <v>45483</v>
      </c>
      <c r="I238" t="s">
        <v>476</v>
      </c>
    </row>
    <row r="239" spans="1:9" x14ac:dyDescent="0.35">
      <c r="A239" t="s">
        <v>477</v>
      </c>
      <c r="B239" t="s">
        <v>34</v>
      </c>
      <c r="C239" t="s">
        <v>46</v>
      </c>
      <c r="E239">
        <v>256418.56</v>
      </c>
      <c r="G239" s="1">
        <v>45339</v>
      </c>
      <c r="H239" t="s">
        <v>47</v>
      </c>
      <c r="I239" t="s">
        <v>478</v>
      </c>
    </row>
    <row r="240" spans="1:9" x14ac:dyDescent="0.35">
      <c r="A240" t="s">
        <v>1088</v>
      </c>
      <c r="B240" t="s">
        <v>76</v>
      </c>
      <c r="C240" t="s">
        <v>27</v>
      </c>
      <c r="E240">
        <v>132831.25</v>
      </c>
      <c r="G240" s="1">
        <v>45534</v>
      </c>
      <c r="H240" t="s">
        <v>28</v>
      </c>
    </row>
    <row r="241" spans="1:9" x14ac:dyDescent="0.35">
      <c r="A241" t="s">
        <v>479</v>
      </c>
      <c r="B241" t="s">
        <v>26</v>
      </c>
      <c r="C241" t="s">
        <v>27</v>
      </c>
      <c r="E241">
        <v>204248.42</v>
      </c>
      <c r="G241" s="1">
        <v>45124</v>
      </c>
      <c r="I241" t="s">
        <v>480</v>
      </c>
    </row>
    <row r="242" spans="1:9" x14ac:dyDescent="0.35">
      <c r="A242" t="s">
        <v>481</v>
      </c>
      <c r="B242" t="s">
        <v>42</v>
      </c>
      <c r="C242" t="s">
        <v>1075</v>
      </c>
      <c r="G242" s="1">
        <v>45776</v>
      </c>
      <c r="H242" t="s">
        <v>28</v>
      </c>
      <c r="I242" t="s">
        <v>482</v>
      </c>
    </row>
    <row r="243" spans="1:9" x14ac:dyDescent="0.35">
      <c r="A243" t="s">
        <v>1089</v>
      </c>
      <c r="B243" t="s">
        <v>85</v>
      </c>
      <c r="C243" t="s">
        <v>46</v>
      </c>
      <c r="E243">
        <v>215216.93</v>
      </c>
      <c r="G243" s="1">
        <v>45201</v>
      </c>
      <c r="H243" t="s">
        <v>28</v>
      </c>
      <c r="I243" t="s">
        <v>483</v>
      </c>
    </row>
    <row r="244" spans="1:9" x14ac:dyDescent="0.35">
      <c r="A244" t="s">
        <v>484</v>
      </c>
      <c r="B244" t="s">
        <v>16</v>
      </c>
      <c r="C244" t="s">
        <v>12</v>
      </c>
      <c r="E244">
        <v>146903.98000000001</v>
      </c>
      <c r="G244" s="1">
        <v>45452</v>
      </c>
      <c r="H244" t="s">
        <v>9</v>
      </c>
      <c r="I244" t="s">
        <v>485</v>
      </c>
    </row>
    <row r="245" spans="1:9" x14ac:dyDescent="0.35">
      <c r="A245" t="s">
        <v>486</v>
      </c>
      <c r="B245" t="s">
        <v>1090</v>
      </c>
      <c r="C245" t="s">
        <v>27</v>
      </c>
      <c r="E245">
        <v>269717.36</v>
      </c>
      <c r="G245" s="1">
        <v>45222</v>
      </c>
      <c r="H245" t="s">
        <v>47</v>
      </c>
      <c r="I245" t="s">
        <v>487</v>
      </c>
    </row>
    <row r="246" spans="1:9" x14ac:dyDescent="0.35">
      <c r="A246" t="s">
        <v>488</v>
      </c>
      <c r="B246" t="s">
        <v>20</v>
      </c>
      <c r="C246" t="s">
        <v>12</v>
      </c>
      <c r="E246">
        <v>133922.07</v>
      </c>
      <c r="G246" s="1">
        <v>45803</v>
      </c>
      <c r="H246" t="s">
        <v>47</v>
      </c>
      <c r="I246" t="s">
        <v>489</v>
      </c>
    </row>
    <row r="247" spans="1:9" x14ac:dyDescent="0.35">
      <c r="A247" t="s">
        <v>490</v>
      </c>
      <c r="B247" t="s">
        <v>37</v>
      </c>
      <c r="C247" t="s">
        <v>46</v>
      </c>
      <c r="E247">
        <v>17162.919999999998</v>
      </c>
      <c r="G247" s="1">
        <v>45323</v>
      </c>
      <c r="H247" t="s">
        <v>13</v>
      </c>
      <c r="I247" t="s">
        <v>491</v>
      </c>
    </row>
    <row r="248" spans="1:9" x14ac:dyDescent="0.35">
      <c r="A248" t="s">
        <v>492</v>
      </c>
      <c r="B248" t="s">
        <v>76</v>
      </c>
      <c r="C248" t="s">
        <v>12</v>
      </c>
      <c r="E248">
        <v>40017.33</v>
      </c>
      <c r="G248" s="1">
        <v>45683</v>
      </c>
      <c r="H248" t="s">
        <v>9</v>
      </c>
      <c r="I248" t="s">
        <v>493</v>
      </c>
    </row>
    <row r="249" spans="1:9" x14ac:dyDescent="0.35">
      <c r="B249" t="s">
        <v>34</v>
      </c>
      <c r="C249" t="s">
        <v>90</v>
      </c>
      <c r="E249">
        <v>124919.66</v>
      </c>
      <c r="G249" s="1">
        <v>45402</v>
      </c>
      <c r="I249" t="s">
        <v>494</v>
      </c>
    </row>
    <row r="250" spans="1:9" x14ac:dyDescent="0.35">
      <c r="A250" t="s">
        <v>495</v>
      </c>
      <c r="B250" t="s">
        <v>31</v>
      </c>
      <c r="C250" t="s">
        <v>1069</v>
      </c>
      <c r="D250">
        <v>40</v>
      </c>
      <c r="E250">
        <v>169391.4</v>
      </c>
      <c r="F250">
        <v>6775656</v>
      </c>
      <c r="G250" s="1">
        <v>45711</v>
      </c>
      <c r="H250" t="s">
        <v>9</v>
      </c>
      <c r="I250" t="s">
        <v>496</v>
      </c>
    </row>
    <row r="251" spans="1:9" x14ac:dyDescent="0.35">
      <c r="A251" t="s">
        <v>497</v>
      </c>
      <c r="B251" t="s">
        <v>45</v>
      </c>
      <c r="C251" t="s">
        <v>17</v>
      </c>
      <c r="E251">
        <v>167859.76</v>
      </c>
      <c r="G251" s="1">
        <v>45431</v>
      </c>
      <c r="I251" t="s">
        <v>498</v>
      </c>
    </row>
    <row r="252" spans="1:9" x14ac:dyDescent="0.35">
      <c r="A252" t="s">
        <v>499</v>
      </c>
      <c r="B252" t="s">
        <v>34</v>
      </c>
      <c r="C252" t="s">
        <v>17</v>
      </c>
      <c r="G252" s="1">
        <v>45402</v>
      </c>
      <c r="H252" t="s">
        <v>47</v>
      </c>
      <c r="I252" t="s">
        <v>500</v>
      </c>
    </row>
    <row r="253" spans="1:9" x14ac:dyDescent="0.35">
      <c r="A253" t="s">
        <v>501</v>
      </c>
      <c r="B253" t="s">
        <v>11</v>
      </c>
      <c r="C253" t="s">
        <v>23</v>
      </c>
      <c r="D253">
        <v>25</v>
      </c>
      <c r="E253">
        <v>201993.93</v>
      </c>
      <c r="F253">
        <v>5049848.25</v>
      </c>
      <c r="G253" s="1">
        <v>45153</v>
      </c>
      <c r="H253" t="s">
        <v>13</v>
      </c>
      <c r="I253" t="s">
        <v>502</v>
      </c>
    </row>
    <row r="254" spans="1:9" x14ac:dyDescent="0.35">
      <c r="A254" t="s">
        <v>503</v>
      </c>
      <c r="B254" t="s">
        <v>1070</v>
      </c>
      <c r="C254" t="s">
        <v>90</v>
      </c>
      <c r="D254">
        <v>18</v>
      </c>
      <c r="E254">
        <v>92796.78</v>
      </c>
      <c r="F254">
        <v>1670342.04</v>
      </c>
      <c r="G254" s="1">
        <v>45429</v>
      </c>
      <c r="H254" t="s">
        <v>13</v>
      </c>
    </row>
    <row r="255" spans="1:9" x14ac:dyDescent="0.35">
      <c r="A255" t="s">
        <v>504</v>
      </c>
      <c r="B255" t="s">
        <v>20</v>
      </c>
      <c r="C255" t="s">
        <v>27</v>
      </c>
      <c r="E255">
        <v>7020.25</v>
      </c>
      <c r="G255" s="1">
        <v>45157</v>
      </c>
      <c r="H255" t="s">
        <v>47</v>
      </c>
      <c r="I255" t="s">
        <v>505</v>
      </c>
    </row>
    <row r="256" spans="1:9" x14ac:dyDescent="0.35">
      <c r="A256" t="s">
        <v>506</v>
      </c>
      <c r="B256" t="s">
        <v>85</v>
      </c>
      <c r="C256" t="s">
        <v>23</v>
      </c>
      <c r="E256">
        <v>76709.94</v>
      </c>
      <c r="G256" s="1">
        <v>45560</v>
      </c>
      <c r="H256" t="s">
        <v>28</v>
      </c>
      <c r="I256" t="s">
        <v>507</v>
      </c>
    </row>
    <row r="257" spans="1:9" x14ac:dyDescent="0.35">
      <c r="A257" t="s">
        <v>508</v>
      </c>
      <c r="B257" t="s">
        <v>42</v>
      </c>
      <c r="C257" t="s">
        <v>23</v>
      </c>
      <c r="E257">
        <v>1403.13</v>
      </c>
      <c r="G257" s="1">
        <v>45554</v>
      </c>
      <c r="H257" t="s">
        <v>9</v>
      </c>
      <c r="I257" t="s">
        <v>509</v>
      </c>
    </row>
    <row r="258" spans="1:9" x14ac:dyDescent="0.35">
      <c r="A258" t="s">
        <v>510</v>
      </c>
      <c r="B258" t="s">
        <v>213</v>
      </c>
      <c r="C258" t="s">
        <v>1062</v>
      </c>
      <c r="E258">
        <v>65761.440000000002</v>
      </c>
      <c r="G258" s="1">
        <v>45269</v>
      </c>
      <c r="H258" t="s">
        <v>13</v>
      </c>
      <c r="I258" t="s">
        <v>511</v>
      </c>
    </row>
    <row r="259" spans="1:9" x14ac:dyDescent="0.35">
      <c r="A259" t="s">
        <v>512</v>
      </c>
      <c r="B259" t="s">
        <v>213</v>
      </c>
      <c r="C259" t="s">
        <v>46</v>
      </c>
      <c r="E259">
        <v>22372.34</v>
      </c>
      <c r="G259" s="1">
        <v>45399</v>
      </c>
      <c r="H259" t="s">
        <v>28</v>
      </c>
      <c r="I259" t="s">
        <v>513</v>
      </c>
    </row>
    <row r="260" spans="1:9" x14ac:dyDescent="0.35">
      <c r="A260" t="s">
        <v>514</v>
      </c>
      <c r="B260" t="s">
        <v>53</v>
      </c>
      <c r="C260" t="s">
        <v>27</v>
      </c>
      <c r="E260">
        <v>127397.37</v>
      </c>
      <c r="G260" s="1">
        <v>45547</v>
      </c>
      <c r="I260" t="s">
        <v>515</v>
      </c>
    </row>
    <row r="261" spans="1:9" x14ac:dyDescent="0.35">
      <c r="A261" t="s">
        <v>516</v>
      </c>
      <c r="B261" t="s">
        <v>105</v>
      </c>
      <c r="C261" t="s">
        <v>23</v>
      </c>
      <c r="E261">
        <v>210265.27</v>
      </c>
      <c r="G261" s="1">
        <v>45342</v>
      </c>
      <c r="H261" t="s">
        <v>13</v>
      </c>
      <c r="I261" t="s">
        <v>517</v>
      </c>
    </row>
    <row r="262" spans="1:9" x14ac:dyDescent="0.35">
      <c r="B262" t="s">
        <v>45</v>
      </c>
      <c r="C262" t="s">
        <v>27</v>
      </c>
      <c r="D262">
        <v>49</v>
      </c>
      <c r="G262" s="1">
        <v>45175</v>
      </c>
      <c r="I262" t="s">
        <v>518</v>
      </c>
    </row>
    <row r="263" spans="1:9" x14ac:dyDescent="0.35">
      <c r="A263" t="s">
        <v>519</v>
      </c>
      <c r="B263" t="s">
        <v>1081</v>
      </c>
      <c r="C263" t="s">
        <v>70</v>
      </c>
      <c r="D263">
        <v>21</v>
      </c>
      <c r="E263">
        <v>162578.47</v>
      </c>
      <c r="F263">
        <v>3414147.87</v>
      </c>
      <c r="G263" s="1">
        <v>45418</v>
      </c>
      <c r="H263" t="s">
        <v>28</v>
      </c>
      <c r="I263" t="s">
        <v>520</v>
      </c>
    </row>
    <row r="264" spans="1:9" x14ac:dyDescent="0.35">
      <c r="A264" t="s">
        <v>521</v>
      </c>
      <c r="B264" t="s">
        <v>105</v>
      </c>
      <c r="C264" t="s">
        <v>46</v>
      </c>
      <c r="E264">
        <v>18546.560000000001</v>
      </c>
      <c r="G264" s="1">
        <v>45509</v>
      </c>
      <c r="I264" t="s">
        <v>522</v>
      </c>
    </row>
    <row r="265" spans="1:9" x14ac:dyDescent="0.35">
      <c r="A265" t="s">
        <v>523</v>
      </c>
      <c r="B265" t="s">
        <v>11</v>
      </c>
      <c r="C265" t="s">
        <v>27</v>
      </c>
      <c r="E265">
        <v>268318.42</v>
      </c>
      <c r="G265" s="1">
        <v>45467</v>
      </c>
      <c r="H265" t="s">
        <v>28</v>
      </c>
      <c r="I265" t="s">
        <v>524</v>
      </c>
    </row>
    <row r="266" spans="1:9" x14ac:dyDescent="0.35">
      <c r="A266" t="s">
        <v>1091</v>
      </c>
      <c r="B266" t="s">
        <v>105</v>
      </c>
      <c r="C266" t="s">
        <v>1078</v>
      </c>
      <c r="D266">
        <v>57</v>
      </c>
      <c r="E266">
        <v>295848.11</v>
      </c>
      <c r="F266">
        <v>16863342.27</v>
      </c>
      <c r="G266" s="1">
        <v>45711</v>
      </c>
      <c r="I266" t="s">
        <v>525</v>
      </c>
    </row>
    <row r="267" spans="1:9" x14ac:dyDescent="0.35">
      <c r="A267" t="s">
        <v>526</v>
      </c>
      <c r="B267" t="s">
        <v>16</v>
      </c>
      <c r="C267" t="s">
        <v>23</v>
      </c>
      <c r="E267">
        <v>141885.32</v>
      </c>
      <c r="G267" s="1">
        <v>45545</v>
      </c>
      <c r="H267" t="s">
        <v>9</v>
      </c>
      <c r="I267" t="s">
        <v>527</v>
      </c>
    </row>
    <row r="268" spans="1:9" x14ac:dyDescent="0.35">
      <c r="A268" t="s">
        <v>528</v>
      </c>
      <c r="B268" t="s">
        <v>76</v>
      </c>
      <c r="C268" t="s">
        <v>12</v>
      </c>
      <c r="E268">
        <v>86483.67</v>
      </c>
      <c r="G268" s="1">
        <v>45335</v>
      </c>
      <c r="H268" t="s">
        <v>13</v>
      </c>
    </row>
    <row r="269" spans="1:9" x14ac:dyDescent="0.35">
      <c r="A269" t="s">
        <v>529</v>
      </c>
      <c r="B269" t="s">
        <v>131</v>
      </c>
      <c r="C269" t="s">
        <v>46</v>
      </c>
      <c r="E269">
        <v>54404.41</v>
      </c>
      <c r="G269" s="1">
        <v>45759</v>
      </c>
      <c r="H269" t="s">
        <v>13</v>
      </c>
      <c r="I269" s="2" t="s">
        <v>530</v>
      </c>
    </row>
    <row r="270" spans="1:9" x14ac:dyDescent="0.35">
      <c r="A270" t="s">
        <v>531</v>
      </c>
      <c r="B270" t="s">
        <v>42</v>
      </c>
      <c r="C270" t="s">
        <v>90</v>
      </c>
      <c r="E270">
        <v>41060.949999999997</v>
      </c>
      <c r="G270" s="1">
        <v>45602</v>
      </c>
      <c r="H270" t="s">
        <v>28</v>
      </c>
      <c r="I270" t="s">
        <v>532</v>
      </c>
    </row>
    <row r="271" spans="1:9" x14ac:dyDescent="0.35">
      <c r="A271" t="s">
        <v>533</v>
      </c>
      <c r="B271" t="s">
        <v>34</v>
      </c>
      <c r="C271" t="s">
        <v>12</v>
      </c>
      <c r="E271">
        <v>192636.74</v>
      </c>
      <c r="G271" s="1">
        <v>45646</v>
      </c>
      <c r="I271" t="s">
        <v>534</v>
      </c>
    </row>
    <row r="272" spans="1:9" x14ac:dyDescent="0.35">
      <c r="A272" t="s">
        <v>535</v>
      </c>
      <c r="B272" t="s">
        <v>1086</v>
      </c>
      <c r="C272" t="s">
        <v>23</v>
      </c>
      <c r="D272">
        <v>58</v>
      </c>
      <c r="G272" s="1">
        <v>45592</v>
      </c>
      <c r="H272" t="s">
        <v>47</v>
      </c>
      <c r="I272" t="s">
        <v>536</v>
      </c>
    </row>
    <row r="273" spans="1:9" x14ac:dyDescent="0.35">
      <c r="A273" t="s">
        <v>537</v>
      </c>
      <c r="B273" t="s">
        <v>26</v>
      </c>
      <c r="C273" t="s">
        <v>23</v>
      </c>
      <c r="D273">
        <v>69</v>
      </c>
      <c r="E273">
        <v>218922.21</v>
      </c>
      <c r="F273">
        <v>15105632.49</v>
      </c>
      <c r="G273" s="1">
        <v>45210</v>
      </c>
      <c r="H273" t="s">
        <v>13</v>
      </c>
      <c r="I273" t="s">
        <v>538</v>
      </c>
    </row>
    <row r="274" spans="1:9" x14ac:dyDescent="0.35">
      <c r="A274" t="s">
        <v>539</v>
      </c>
      <c r="B274" t="s">
        <v>53</v>
      </c>
      <c r="C274" t="s">
        <v>1062</v>
      </c>
      <c r="E274">
        <v>289152.88</v>
      </c>
      <c r="G274" s="1">
        <v>45217</v>
      </c>
      <c r="I274" t="s">
        <v>540</v>
      </c>
    </row>
    <row r="275" spans="1:9" x14ac:dyDescent="0.35">
      <c r="B275" t="s">
        <v>131</v>
      </c>
      <c r="C275" t="s">
        <v>46</v>
      </c>
      <c r="E275">
        <v>112651.05</v>
      </c>
      <c r="G275" s="1">
        <v>45193</v>
      </c>
      <c r="I275" t="s">
        <v>541</v>
      </c>
    </row>
    <row r="276" spans="1:9" x14ac:dyDescent="0.35">
      <c r="A276" t="s">
        <v>542</v>
      </c>
      <c r="B276" t="s">
        <v>53</v>
      </c>
      <c r="C276" t="s">
        <v>17</v>
      </c>
      <c r="E276">
        <v>267454.40999999997</v>
      </c>
      <c r="G276" s="1">
        <v>45423</v>
      </c>
      <c r="H276" t="s">
        <v>9</v>
      </c>
      <c r="I276" t="s">
        <v>543</v>
      </c>
    </row>
    <row r="277" spans="1:9" x14ac:dyDescent="0.35">
      <c r="A277" t="s">
        <v>544</v>
      </c>
      <c r="B277" t="s">
        <v>45</v>
      </c>
      <c r="C277" t="s">
        <v>23</v>
      </c>
      <c r="E277">
        <v>134836.87</v>
      </c>
      <c r="G277" s="1">
        <v>45407</v>
      </c>
      <c r="H277" t="s">
        <v>47</v>
      </c>
      <c r="I277" t="s">
        <v>545</v>
      </c>
    </row>
    <row r="278" spans="1:9" x14ac:dyDescent="0.35">
      <c r="A278" t="s">
        <v>546</v>
      </c>
      <c r="B278" t="s">
        <v>79</v>
      </c>
      <c r="C278" t="s">
        <v>70</v>
      </c>
      <c r="E278">
        <v>275175.96999999997</v>
      </c>
      <c r="G278" s="1">
        <v>45735</v>
      </c>
      <c r="H278" t="s">
        <v>13</v>
      </c>
      <c r="I278" t="s">
        <v>547</v>
      </c>
    </row>
    <row r="279" spans="1:9" x14ac:dyDescent="0.35">
      <c r="A279" t="s">
        <v>548</v>
      </c>
      <c r="B279" t="s">
        <v>34</v>
      </c>
      <c r="C279" t="s">
        <v>23</v>
      </c>
      <c r="E279">
        <v>113560.16</v>
      </c>
      <c r="G279" s="1">
        <v>45381</v>
      </c>
      <c r="H279" t="s">
        <v>9</v>
      </c>
      <c r="I279" t="s">
        <v>549</v>
      </c>
    </row>
    <row r="280" spans="1:9" x14ac:dyDescent="0.35">
      <c r="A280" t="s">
        <v>1092</v>
      </c>
      <c r="B280" t="s">
        <v>45</v>
      </c>
      <c r="C280" t="s">
        <v>17</v>
      </c>
      <c r="E280">
        <v>24534.87</v>
      </c>
      <c r="G280" s="1">
        <v>45551</v>
      </c>
      <c r="H280" t="s">
        <v>47</v>
      </c>
      <c r="I280" t="s">
        <v>550</v>
      </c>
    </row>
    <row r="281" spans="1:9" x14ac:dyDescent="0.35">
      <c r="A281" t="s">
        <v>551</v>
      </c>
      <c r="B281" t="s">
        <v>1093</v>
      </c>
      <c r="C281" t="s">
        <v>17</v>
      </c>
      <c r="D281">
        <v>54</v>
      </c>
      <c r="E281">
        <v>289261.24</v>
      </c>
      <c r="F281">
        <v>15620106.960000001</v>
      </c>
      <c r="G281" s="1">
        <v>45847</v>
      </c>
      <c r="H281" t="s">
        <v>13</v>
      </c>
      <c r="I281" t="s">
        <v>552</v>
      </c>
    </row>
    <row r="282" spans="1:9" x14ac:dyDescent="0.35">
      <c r="A282" t="s">
        <v>553</v>
      </c>
      <c r="B282" t="s">
        <v>45</v>
      </c>
      <c r="C282" t="s">
        <v>1068</v>
      </c>
      <c r="G282" s="1">
        <v>45401</v>
      </c>
      <c r="H282" t="s">
        <v>9</v>
      </c>
    </row>
    <row r="283" spans="1:9" x14ac:dyDescent="0.35">
      <c r="A283" t="s">
        <v>554</v>
      </c>
      <c r="B283" t="s">
        <v>45</v>
      </c>
      <c r="C283" t="s">
        <v>90</v>
      </c>
      <c r="E283">
        <v>262428.84000000003</v>
      </c>
      <c r="G283" s="1">
        <v>45704</v>
      </c>
      <c r="H283" t="s">
        <v>47</v>
      </c>
      <c r="I283" t="s">
        <v>555</v>
      </c>
    </row>
    <row r="284" spans="1:9" x14ac:dyDescent="0.35">
      <c r="A284" t="s">
        <v>556</v>
      </c>
      <c r="B284" t="s">
        <v>79</v>
      </c>
      <c r="C284" t="s">
        <v>70</v>
      </c>
      <c r="E284">
        <v>40330.449999999997</v>
      </c>
      <c r="G284" s="1">
        <v>45230</v>
      </c>
      <c r="H284" t="s">
        <v>13</v>
      </c>
      <c r="I284" t="s">
        <v>557</v>
      </c>
    </row>
    <row r="285" spans="1:9" x14ac:dyDescent="0.35">
      <c r="A285" t="s">
        <v>558</v>
      </c>
      <c r="B285" t="s">
        <v>213</v>
      </c>
      <c r="C285" t="s">
        <v>55</v>
      </c>
      <c r="E285">
        <v>258155.83</v>
      </c>
      <c r="G285" s="1">
        <v>45272</v>
      </c>
      <c r="H285" t="s">
        <v>47</v>
      </c>
      <c r="I285" t="s">
        <v>559</v>
      </c>
    </row>
    <row r="286" spans="1:9" x14ac:dyDescent="0.35">
      <c r="A286" t="s">
        <v>560</v>
      </c>
      <c r="B286" t="s">
        <v>58</v>
      </c>
      <c r="C286" t="s">
        <v>23</v>
      </c>
      <c r="D286">
        <v>71</v>
      </c>
      <c r="E286">
        <v>36030.629999999997</v>
      </c>
      <c r="F286">
        <v>2558174.73</v>
      </c>
      <c r="G286" s="1">
        <v>45585</v>
      </c>
      <c r="I286" t="s">
        <v>561</v>
      </c>
    </row>
    <row r="287" spans="1:9" x14ac:dyDescent="0.35">
      <c r="A287" t="s">
        <v>562</v>
      </c>
      <c r="B287" t="s">
        <v>58</v>
      </c>
      <c r="C287" t="s">
        <v>90</v>
      </c>
      <c r="E287">
        <v>297857.61</v>
      </c>
      <c r="G287" s="1">
        <v>45513</v>
      </c>
      <c r="H287" t="s">
        <v>28</v>
      </c>
      <c r="I287" t="s">
        <v>563</v>
      </c>
    </row>
    <row r="288" spans="1:9" x14ac:dyDescent="0.35">
      <c r="B288" t="s">
        <v>85</v>
      </c>
      <c r="C288" t="s">
        <v>46</v>
      </c>
      <c r="E288">
        <v>118221.06</v>
      </c>
      <c r="G288" s="1">
        <v>45429</v>
      </c>
      <c r="H288" t="s">
        <v>28</v>
      </c>
      <c r="I288" t="s">
        <v>564</v>
      </c>
    </row>
    <row r="289" spans="1:9" x14ac:dyDescent="0.35">
      <c r="A289" t="s">
        <v>565</v>
      </c>
      <c r="B289" t="s">
        <v>45</v>
      </c>
      <c r="C289" t="s">
        <v>27</v>
      </c>
      <c r="D289">
        <v>11</v>
      </c>
      <c r="E289">
        <v>38640.449999999997</v>
      </c>
      <c r="F289">
        <v>425044.95</v>
      </c>
      <c r="G289" s="1">
        <v>45506</v>
      </c>
      <c r="I289" t="s">
        <v>566</v>
      </c>
    </row>
    <row r="290" spans="1:9" x14ac:dyDescent="0.35">
      <c r="A290" t="s">
        <v>567</v>
      </c>
      <c r="B290" t="s">
        <v>1085</v>
      </c>
      <c r="C290" t="s">
        <v>1072</v>
      </c>
      <c r="E290">
        <v>293627.95</v>
      </c>
      <c r="G290" s="1">
        <v>45149</v>
      </c>
      <c r="H290" t="s">
        <v>47</v>
      </c>
      <c r="I290" t="s">
        <v>568</v>
      </c>
    </row>
    <row r="291" spans="1:9" x14ac:dyDescent="0.35">
      <c r="A291" t="s">
        <v>569</v>
      </c>
      <c r="B291" t="s">
        <v>37</v>
      </c>
      <c r="C291" t="s">
        <v>23</v>
      </c>
      <c r="D291">
        <v>66</v>
      </c>
      <c r="E291">
        <v>250529.07</v>
      </c>
      <c r="F291">
        <v>16534918.619999999</v>
      </c>
      <c r="G291" s="1">
        <v>45153</v>
      </c>
      <c r="I291" t="s">
        <v>570</v>
      </c>
    </row>
    <row r="292" spans="1:9" x14ac:dyDescent="0.35">
      <c r="A292" t="s">
        <v>571</v>
      </c>
      <c r="B292" t="s">
        <v>85</v>
      </c>
      <c r="C292" t="s">
        <v>90</v>
      </c>
      <c r="D292">
        <v>56</v>
      </c>
      <c r="G292" s="1">
        <v>45148</v>
      </c>
      <c r="H292" t="s">
        <v>28</v>
      </c>
      <c r="I292" s="2" t="s">
        <v>572</v>
      </c>
    </row>
    <row r="293" spans="1:9" x14ac:dyDescent="0.35">
      <c r="A293" t="s">
        <v>573</v>
      </c>
      <c r="B293" t="s">
        <v>37</v>
      </c>
      <c r="C293" t="s">
        <v>12</v>
      </c>
      <c r="E293">
        <v>226975.73</v>
      </c>
      <c r="G293" s="1">
        <v>45224</v>
      </c>
      <c r="H293" t="s">
        <v>28</v>
      </c>
      <c r="I293" t="s">
        <v>574</v>
      </c>
    </row>
    <row r="294" spans="1:9" x14ac:dyDescent="0.35">
      <c r="A294" t="s">
        <v>575</v>
      </c>
      <c r="B294" t="s">
        <v>61</v>
      </c>
      <c r="C294" t="s">
        <v>17</v>
      </c>
      <c r="D294">
        <v>45</v>
      </c>
      <c r="E294">
        <v>293557.96000000002</v>
      </c>
      <c r="F294">
        <v>13210108.199999999</v>
      </c>
      <c r="G294" s="1">
        <v>45672</v>
      </c>
      <c r="H294" t="s">
        <v>47</v>
      </c>
      <c r="I294" t="s">
        <v>576</v>
      </c>
    </row>
    <row r="295" spans="1:9" x14ac:dyDescent="0.35">
      <c r="A295" t="s">
        <v>577</v>
      </c>
      <c r="B295" t="s">
        <v>37</v>
      </c>
      <c r="C295" t="s">
        <v>17</v>
      </c>
      <c r="D295">
        <v>54</v>
      </c>
      <c r="E295">
        <v>139169.67000000001</v>
      </c>
      <c r="F295">
        <v>7515162.1799999997</v>
      </c>
      <c r="G295" s="1">
        <v>45376</v>
      </c>
      <c r="H295" t="s">
        <v>28</v>
      </c>
      <c r="I295" t="s">
        <v>578</v>
      </c>
    </row>
    <row r="296" spans="1:9" x14ac:dyDescent="0.35">
      <c r="A296" t="s">
        <v>579</v>
      </c>
      <c r="B296" t="s">
        <v>20</v>
      </c>
      <c r="C296" t="s">
        <v>23</v>
      </c>
      <c r="E296">
        <v>215868.65</v>
      </c>
      <c r="G296" s="1">
        <v>45742</v>
      </c>
    </row>
    <row r="297" spans="1:9" x14ac:dyDescent="0.35">
      <c r="A297" t="s">
        <v>580</v>
      </c>
      <c r="B297" t="s">
        <v>105</v>
      </c>
      <c r="C297" t="s">
        <v>12</v>
      </c>
      <c r="D297">
        <v>48</v>
      </c>
      <c r="E297">
        <v>127526.34</v>
      </c>
      <c r="F297">
        <v>6121264.3200000003</v>
      </c>
      <c r="G297" s="1">
        <v>45485</v>
      </c>
      <c r="H297" t="s">
        <v>47</v>
      </c>
      <c r="I297" t="s">
        <v>581</v>
      </c>
    </row>
    <row r="298" spans="1:9" x14ac:dyDescent="0.35">
      <c r="A298" t="s">
        <v>582</v>
      </c>
      <c r="B298" t="s">
        <v>31</v>
      </c>
      <c r="C298" t="s">
        <v>1069</v>
      </c>
      <c r="D298">
        <v>50</v>
      </c>
      <c r="E298">
        <v>114093.3</v>
      </c>
      <c r="F298">
        <v>5704665</v>
      </c>
      <c r="G298" s="1">
        <v>45521</v>
      </c>
      <c r="I298" t="s">
        <v>583</v>
      </c>
    </row>
    <row r="299" spans="1:9" x14ac:dyDescent="0.35">
      <c r="A299" t="s">
        <v>584</v>
      </c>
      <c r="B299" t="s">
        <v>1064</v>
      </c>
      <c r="C299" t="s">
        <v>17</v>
      </c>
      <c r="D299">
        <v>48</v>
      </c>
      <c r="E299">
        <v>69284.39</v>
      </c>
      <c r="F299">
        <v>3325650.72</v>
      </c>
      <c r="G299" s="1">
        <v>45472</v>
      </c>
      <c r="H299" t="s">
        <v>47</v>
      </c>
      <c r="I299" t="s">
        <v>585</v>
      </c>
    </row>
    <row r="300" spans="1:9" x14ac:dyDescent="0.35">
      <c r="A300" t="s">
        <v>486</v>
      </c>
      <c r="B300" t="s">
        <v>20</v>
      </c>
      <c r="C300" t="s">
        <v>46</v>
      </c>
      <c r="E300">
        <v>138457.26999999999</v>
      </c>
      <c r="G300" s="1">
        <v>45233</v>
      </c>
      <c r="H300" t="s">
        <v>28</v>
      </c>
      <c r="I300" t="s">
        <v>586</v>
      </c>
    </row>
    <row r="301" spans="1:9" x14ac:dyDescent="0.35">
      <c r="B301" t="s">
        <v>79</v>
      </c>
      <c r="C301" t="s">
        <v>17</v>
      </c>
      <c r="E301">
        <v>46958.85</v>
      </c>
      <c r="G301" s="1">
        <v>45588</v>
      </c>
      <c r="H301" t="s">
        <v>13</v>
      </c>
      <c r="I301" t="s">
        <v>587</v>
      </c>
    </row>
    <row r="302" spans="1:9" x14ac:dyDescent="0.35">
      <c r="A302" t="s">
        <v>588</v>
      </c>
      <c r="B302" t="s">
        <v>61</v>
      </c>
      <c r="C302" t="s">
        <v>55</v>
      </c>
      <c r="G302" s="1">
        <v>45811</v>
      </c>
      <c r="H302" t="s">
        <v>47</v>
      </c>
      <c r="I302" t="s">
        <v>589</v>
      </c>
    </row>
    <row r="303" spans="1:9" x14ac:dyDescent="0.35">
      <c r="A303" t="s">
        <v>590</v>
      </c>
      <c r="B303" t="s">
        <v>45</v>
      </c>
      <c r="C303" t="s">
        <v>70</v>
      </c>
      <c r="D303">
        <v>19</v>
      </c>
      <c r="E303">
        <v>56949.9</v>
      </c>
      <c r="F303">
        <v>1082048.1000000001</v>
      </c>
      <c r="G303" s="1">
        <v>45518</v>
      </c>
      <c r="H303" t="s">
        <v>47</v>
      </c>
      <c r="I303" t="s">
        <v>591</v>
      </c>
    </row>
    <row r="304" spans="1:9" x14ac:dyDescent="0.35">
      <c r="A304" t="s">
        <v>592</v>
      </c>
      <c r="B304" t="s">
        <v>61</v>
      </c>
      <c r="C304" t="s">
        <v>55</v>
      </c>
      <c r="E304">
        <v>262624.84999999998</v>
      </c>
      <c r="G304" s="1">
        <v>45226</v>
      </c>
      <c r="H304" t="s">
        <v>13</v>
      </c>
      <c r="I304" t="s">
        <v>593</v>
      </c>
    </row>
    <row r="305" spans="1:9" x14ac:dyDescent="0.35">
      <c r="A305" t="s">
        <v>594</v>
      </c>
      <c r="B305" t="s">
        <v>37</v>
      </c>
      <c r="C305" t="s">
        <v>55</v>
      </c>
      <c r="E305">
        <v>229764.23</v>
      </c>
      <c r="G305" s="1">
        <v>45372</v>
      </c>
      <c r="H305" t="s">
        <v>28</v>
      </c>
      <c r="I305" t="s">
        <v>595</v>
      </c>
    </row>
    <row r="306" spans="1:9" x14ac:dyDescent="0.35">
      <c r="A306" t="s">
        <v>596</v>
      </c>
      <c r="B306" t="s">
        <v>42</v>
      </c>
      <c r="C306" t="s">
        <v>1068</v>
      </c>
      <c r="E306">
        <v>10149.09</v>
      </c>
      <c r="G306" s="1">
        <v>45841</v>
      </c>
      <c r="I306" t="s">
        <v>597</v>
      </c>
    </row>
    <row r="307" spans="1:9" x14ac:dyDescent="0.35">
      <c r="A307" t="s">
        <v>598</v>
      </c>
      <c r="B307" t="s">
        <v>79</v>
      </c>
      <c r="C307" t="s">
        <v>12</v>
      </c>
      <c r="E307">
        <v>198229.21</v>
      </c>
      <c r="G307" s="1">
        <v>45594</v>
      </c>
      <c r="H307" t="s">
        <v>9</v>
      </c>
      <c r="I307" t="s">
        <v>599</v>
      </c>
    </row>
    <row r="308" spans="1:9" x14ac:dyDescent="0.35">
      <c r="A308" t="s">
        <v>600</v>
      </c>
      <c r="B308" t="s">
        <v>1064</v>
      </c>
      <c r="C308" t="s">
        <v>55</v>
      </c>
      <c r="D308">
        <v>79</v>
      </c>
      <c r="E308">
        <v>184669.5</v>
      </c>
      <c r="F308">
        <v>14588890.5</v>
      </c>
      <c r="G308" s="1">
        <v>45365</v>
      </c>
      <c r="H308" t="s">
        <v>13</v>
      </c>
      <c r="I308" t="s">
        <v>601</v>
      </c>
    </row>
    <row r="309" spans="1:9" x14ac:dyDescent="0.35">
      <c r="A309" t="s">
        <v>602</v>
      </c>
      <c r="B309" t="s">
        <v>58</v>
      </c>
      <c r="C309" t="s">
        <v>70</v>
      </c>
      <c r="D309">
        <v>11</v>
      </c>
      <c r="E309">
        <v>280903.26</v>
      </c>
      <c r="F309">
        <v>3089935.86</v>
      </c>
      <c r="G309" s="1">
        <v>45244</v>
      </c>
      <c r="H309" t="s">
        <v>9</v>
      </c>
      <c r="I309" t="s">
        <v>603</v>
      </c>
    </row>
    <row r="310" spans="1:9" x14ac:dyDescent="0.35">
      <c r="A310" t="s">
        <v>604</v>
      </c>
      <c r="B310" t="s">
        <v>89</v>
      </c>
      <c r="C310" t="s">
        <v>17</v>
      </c>
      <c r="D310">
        <v>33</v>
      </c>
      <c r="E310">
        <v>266767.88</v>
      </c>
      <c r="F310">
        <v>8803340.0399999991</v>
      </c>
      <c r="G310" s="1">
        <v>45423</v>
      </c>
      <c r="H310" t="s">
        <v>28</v>
      </c>
    </row>
    <row r="311" spans="1:9" x14ac:dyDescent="0.35">
      <c r="A311" t="s">
        <v>605</v>
      </c>
      <c r="B311" t="s">
        <v>16</v>
      </c>
      <c r="C311" t="s">
        <v>23</v>
      </c>
      <c r="E311">
        <v>72579.56</v>
      </c>
      <c r="G311" s="1">
        <v>45596</v>
      </c>
      <c r="H311" t="s">
        <v>47</v>
      </c>
      <c r="I311" t="s">
        <v>606</v>
      </c>
    </row>
    <row r="312" spans="1:9" x14ac:dyDescent="0.35">
      <c r="A312" t="s">
        <v>607</v>
      </c>
      <c r="B312" t="s">
        <v>53</v>
      </c>
      <c r="C312" t="s">
        <v>70</v>
      </c>
      <c r="G312" s="1">
        <v>45692</v>
      </c>
      <c r="H312" t="s">
        <v>47</v>
      </c>
      <c r="I312" t="s">
        <v>608</v>
      </c>
    </row>
    <row r="313" spans="1:9" x14ac:dyDescent="0.35">
      <c r="A313" t="s">
        <v>609</v>
      </c>
      <c r="B313" t="s">
        <v>89</v>
      </c>
      <c r="C313" t="s">
        <v>90</v>
      </c>
      <c r="E313">
        <v>20653.63</v>
      </c>
      <c r="G313" s="1">
        <v>45772</v>
      </c>
      <c r="H313" t="s">
        <v>28</v>
      </c>
      <c r="I313" t="s">
        <v>610</v>
      </c>
    </row>
    <row r="314" spans="1:9" x14ac:dyDescent="0.35">
      <c r="B314" t="s">
        <v>20</v>
      </c>
      <c r="C314" t="s">
        <v>1062</v>
      </c>
      <c r="E314">
        <v>178386.27</v>
      </c>
      <c r="G314" s="1">
        <v>45350</v>
      </c>
      <c r="I314" t="s">
        <v>611</v>
      </c>
    </row>
    <row r="315" spans="1:9" x14ac:dyDescent="0.35">
      <c r="A315" t="s">
        <v>612</v>
      </c>
      <c r="B315" t="s">
        <v>16</v>
      </c>
      <c r="C315" t="s">
        <v>46</v>
      </c>
      <c r="E315">
        <v>134209.1</v>
      </c>
      <c r="G315" s="1">
        <v>45579</v>
      </c>
      <c r="I315" t="s">
        <v>613</v>
      </c>
    </row>
    <row r="316" spans="1:9" x14ac:dyDescent="0.35">
      <c r="A316" t="s">
        <v>614</v>
      </c>
      <c r="B316" t="s">
        <v>105</v>
      </c>
      <c r="C316" t="s">
        <v>55</v>
      </c>
      <c r="D316">
        <v>16</v>
      </c>
      <c r="E316">
        <v>201771.08</v>
      </c>
      <c r="F316">
        <v>3228337.28</v>
      </c>
      <c r="G316" s="1">
        <v>45379</v>
      </c>
      <c r="H316" t="s">
        <v>28</v>
      </c>
      <c r="I316" t="s">
        <v>615</v>
      </c>
    </row>
    <row r="317" spans="1:9" x14ac:dyDescent="0.35">
      <c r="A317" t="s">
        <v>616</v>
      </c>
      <c r="B317" t="s">
        <v>1079</v>
      </c>
      <c r="C317" t="s">
        <v>23</v>
      </c>
      <c r="E317">
        <v>261727.62</v>
      </c>
      <c r="G317" s="1">
        <v>45512</v>
      </c>
      <c r="H317" t="s">
        <v>28</v>
      </c>
      <c r="I317" t="s">
        <v>617</v>
      </c>
    </row>
    <row r="318" spans="1:9" x14ac:dyDescent="0.35">
      <c r="A318" t="s">
        <v>618</v>
      </c>
      <c r="B318" t="s">
        <v>131</v>
      </c>
      <c r="C318" t="s">
        <v>55</v>
      </c>
      <c r="E318">
        <v>73797.88</v>
      </c>
      <c r="G318" s="1">
        <v>45761</v>
      </c>
      <c r="H318" t="s">
        <v>28</v>
      </c>
      <c r="I318" t="s">
        <v>619</v>
      </c>
    </row>
    <row r="319" spans="1:9" x14ac:dyDescent="0.35">
      <c r="A319" t="s">
        <v>620</v>
      </c>
      <c r="B319" t="s">
        <v>76</v>
      </c>
      <c r="C319" t="s">
        <v>46</v>
      </c>
      <c r="D319">
        <v>59</v>
      </c>
      <c r="E319">
        <v>13748.9</v>
      </c>
      <c r="F319">
        <v>811185.1</v>
      </c>
      <c r="G319" s="1">
        <v>45513</v>
      </c>
      <c r="H319" t="s">
        <v>28</v>
      </c>
      <c r="I319" t="s">
        <v>621</v>
      </c>
    </row>
    <row r="320" spans="1:9" x14ac:dyDescent="0.35">
      <c r="A320" t="s">
        <v>622</v>
      </c>
      <c r="B320" t="s">
        <v>89</v>
      </c>
      <c r="C320" t="s">
        <v>70</v>
      </c>
      <c r="E320">
        <v>131969.35999999999</v>
      </c>
      <c r="G320" s="1">
        <v>45531</v>
      </c>
      <c r="H320" t="s">
        <v>28</v>
      </c>
      <c r="I320" t="s">
        <v>623</v>
      </c>
    </row>
    <row r="321" spans="1:9" x14ac:dyDescent="0.35">
      <c r="A321" t="s">
        <v>624</v>
      </c>
      <c r="B321" t="s">
        <v>37</v>
      </c>
      <c r="C321" t="s">
        <v>90</v>
      </c>
      <c r="E321">
        <v>162158.06</v>
      </c>
      <c r="G321" s="1">
        <v>45498</v>
      </c>
      <c r="H321" t="s">
        <v>28</v>
      </c>
      <c r="I321" t="s">
        <v>625</v>
      </c>
    </row>
    <row r="322" spans="1:9" x14ac:dyDescent="0.35">
      <c r="A322" t="s">
        <v>626</v>
      </c>
      <c r="B322" t="s">
        <v>11</v>
      </c>
      <c r="C322" t="s">
        <v>1062</v>
      </c>
      <c r="G322" s="1">
        <v>45668</v>
      </c>
      <c r="H322" t="s">
        <v>47</v>
      </c>
      <c r="I322" t="s">
        <v>627</v>
      </c>
    </row>
    <row r="323" spans="1:9" x14ac:dyDescent="0.35">
      <c r="A323" t="s">
        <v>628</v>
      </c>
      <c r="B323" t="s">
        <v>76</v>
      </c>
      <c r="C323" t="s">
        <v>70</v>
      </c>
      <c r="E323">
        <v>226438.52</v>
      </c>
      <c r="G323" s="1">
        <v>45555</v>
      </c>
      <c r="H323" t="s">
        <v>9</v>
      </c>
      <c r="I323" t="s">
        <v>629</v>
      </c>
    </row>
    <row r="324" spans="1:9" x14ac:dyDescent="0.35">
      <c r="A324" t="s">
        <v>630</v>
      </c>
      <c r="B324" t="s">
        <v>61</v>
      </c>
      <c r="C324" t="s">
        <v>90</v>
      </c>
      <c r="E324">
        <v>232931.05</v>
      </c>
      <c r="G324" s="1">
        <v>45350</v>
      </c>
    </row>
    <row r="325" spans="1:9" x14ac:dyDescent="0.35">
      <c r="A325" t="s">
        <v>631</v>
      </c>
      <c r="B325" t="s">
        <v>79</v>
      </c>
      <c r="C325" t="s">
        <v>27</v>
      </c>
      <c r="E325">
        <v>42470.6</v>
      </c>
      <c r="G325" s="1">
        <v>45486</v>
      </c>
      <c r="H325" t="s">
        <v>9</v>
      </c>
      <c r="I325" t="s">
        <v>632</v>
      </c>
    </row>
    <row r="326" spans="1:9" x14ac:dyDescent="0.35">
      <c r="A326" t="s">
        <v>633</v>
      </c>
      <c r="B326" t="s">
        <v>1061</v>
      </c>
      <c r="C326" t="s">
        <v>55</v>
      </c>
      <c r="D326">
        <v>55</v>
      </c>
      <c r="E326">
        <v>298048.28999999998</v>
      </c>
      <c r="F326">
        <v>16392655.949999999</v>
      </c>
      <c r="G326" s="1">
        <v>45751</v>
      </c>
      <c r="H326" t="s">
        <v>47</v>
      </c>
      <c r="I326" t="s">
        <v>634</v>
      </c>
    </row>
    <row r="327" spans="1:9" x14ac:dyDescent="0.35">
      <c r="B327" t="s">
        <v>37</v>
      </c>
      <c r="C327" t="s">
        <v>17</v>
      </c>
      <c r="E327">
        <v>70631.37</v>
      </c>
      <c r="G327" s="1">
        <v>45130</v>
      </c>
      <c r="H327" t="s">
        <v>13</v>
      </c>
      <c r="I327" t="s">
        <v>635</v>
      </c>
    </row>
    <row r="328" spans="1:9" x14ac:dyDescent="0.35">
      <c r="A328" t="s">
        <v>1094</v>
      </c>
      <c r="B328" t="s">
        <v>34</v>
      </c>
      <c r="C328" t="s">
        <v>17</v>
      </c>
      <c r="E328">
        <v>274960.90999999997</v>
      </c>
      <c r="G328" s="1">
        <v>45404</v>
      </c>
      <c r="H328" t="s">
        <v>9</v>
      </c>
      <c r="I328" t="s">
        <v>636</v>
      </c>
    </row>
    <row r="329" spans="1:9" x14ac:dyDescent="0.35">
      <c r="A329" t="s">
        <v>637</v>
      </c>
      <c r="B329" t="s">
        <v>53</v>
      </c>
      <c r="C329" t="s">
        <v>90</v>
      </c>
      <c r="D329">
        <v>54</v>
      </c>
      <c r="E329">
        <v>173045.05</v>
      </c>
      <c r="F329">
        <v>9344432.6999999993</v>
      </c>
      <c r="G329" s="1">
        <v>45375</v>
      </c>
      <c r="H329" t="s">
        <v>13</v>
      </c>
      <c r="I329" t="s">
        <v>638</v>
      </c>
    </row>
    <row r="330" spans="1:9" x14ac:dyDescent="0.35">
      <c r="A330" t="s">
        <v>639</v>
      </c>
      <c r="B330" t="s">
        <v>58</v>
      </c>
      <c r="C330" t="s">
        <v>1063</v>
      </c>
      <c r="E330">
        <v>173453.71</v>
      </c>
      <c r="G330" s="1">
        <v>45641</v>
      </c>
      <c r="H330" t="s">
        <v>47</v>
      </c>
      <c r="I330" t="s">
        <v>640</v>
      </c>
    </row>
    <row r="331" spans="1:9" x14ac:dyDescent="0.35">
      <c r="A331" t="s">
        <v>641</v>
      </c>
      <c r="B331" t="s">
        <v>16</v>
      </c>
      <c r="C331" t="s">
        <v>23</v>
      </c>
      <c r="E331">
        <v>231875.19</v>
      </c>
      <c r="G331" s="1">
        <v>45203</v>
      </c>
      <c r="I331" t="s">
        <v>642</v>
      </c>
    </row>
    <row r="332" spans="1:9" x14ac:dyDescent="0.35">
      <c r="A332" t="s">
        <v>643</v>
      </c>
      <c r="B332" t="s">
        <v>26</v>
      </c>
      <c r="C332" t="s">
        <v>12</v>
      </c>
      <c r="D332">
        <v>47</v>
      </c>
      <c r="G332" s="1">
        <v>45441</v>
      </c>
      <c r="H332" t="s">
        <v>13</v>
      </c>
      <c r="I332" t="s">
        <v>644</v>
      </c>
    </row>
    <row r="333" spans="1:9" x14ac:dyDescent="0.35">
      <c r="A333" t="s">
        <v>645</v>
      </c>
      <c r="B333" t="s">
        <v>109</v>
      </c>
      <c r="C333" t="s">
        <v>23</v>
      </c>
      <c r="E333">
        <v>245605.56</v>
      </c>
      <c r="G333" s="1">
        <v>45571</v>
      </c>
      <c r="H333" t="s">
        <v>47</v>
      </c>
      <c r="I333" t="s">
        <v>646</v>
      </c>
    </row>
    <row r="334" spans="1:9" x14ac:dyDescent="0.35">
      <c r="A334" t="s">
        <v>647</v>
      </c>
      <c r="B334" t="s">
        <v>37</v>
      </c>
      <c r="C334" t="s">
        <v>17</v>
      </c>
      <c r="E334">
        <v>71452.759999999995</v>
      </c>
      <c r="G334" s="1">
        <v>45356</v>
      </c>
      <c r="H334" t="s">
        <v>28</v>
      </c>
      <c r="I334" t="s">
        <v>648</v>
      </c>
    </row>
    <row r="335" spans="1:9" x14ac:dyDescent="0.35">
      <c r="A335" t="s">
        <v>649</v>
      </c>
      <c r="B335" t="s">
        <v>1077</v>
      </c>
      <c r="C335" t="s">
        <v>17</v>
      </c>
      <c r="D335">
        <v>71</v>
      </c>
      <c r="E335">
        <v>262939.37</v>
      </c>
      <c r="F335">
        <v>18668695.27</v>
      </c>
      <c r="G335" s="1">
        <v>45736</v>
      </c>
      <c r="I335" t="s">
        <v>650</v>
      </c>
    </row>
    <row r="336" spans="1:9" x14ac:dyDescent="0.35">
      <c r="A336" t="s">
        <v>651</v>
      </c>
      <c r="B336" t="s">
        <v>109</v>
      </c>
      <c r="C336" t="s">
        <v>46</v>
      </c>
      <c r="E336">
        <v>295715.82</v>
      </c>
      <c r="G336" s="1">
        <v>45816</v>
      </c>
      <c r="H336" t="s">
        <v>28</v>
      </c>
      <c r="I336" t="s">
        <v>652</v>
      </c>
    </row>
    <row r="337" spans="1:9" x14ac:dyDescent="0.35">
      <c r="A337" t="s">
        <v>653</v>
      </c>
      <c r="B337" t="s">
        <v>131</v>
      </c>
      <c r="C337" t="s">
        <v>90</v>
      </c>
      <c r="E337">
        <v>156614.69</v>
      </c>
      <c r="G337" s="1">
        <v>45681</v>
      </c>
      <c r="I337" t="s">
        <v>654</v>
      </c>
    </row>
    <row r="338" spans="1:9" x14ac:dyDescent="0.35">
      <c r="A338" t="s">
        <v>655</v>
      </c>
      <c r="B338" t="s">
        <v>85</v>
      </c>
      <c r="C338" t="s">
        <v>1063</v>
      </c>
      <c r="E338">
        <v>124361.28</v>
      </c>
      <c r="G338" s="1">
        <v>45795</v>
      </c>
    </row>
    <row r="339" spans="1:9" x14ac:dyDescent="0.35">
      <c r="A339" t="s">
        <v>656</v>
      </c>
      <c r="B339" t="s">
        <v>76</v>
      </c>
      <c r="C339" t="s">
        <v>12</v>
      </c>
      <c r="E339">
        <v>82908.600000000006</v>
      </c>
      <c r="G339" s="1">
        <v>45652</v>
      </c>
      <c r="H339" t="s">
        <v>9</v>
      </c>
      <c r="I339" t="s">
        <v>657</v>
      </c>
    </row>
    <row r="340" spans="1:9" x14ac:dyDescent="0.35">
      <c r="B340" t="s">
        <v>34</v>
      </c>
      <c r="C340" t="s">
        <v>23</v>
      </c>
      <c r="E340">
        <v>167237.07999999999</v>
      </c>
      <c r="G340" s="1">
        <v>45606</v>
      </c>
      <c r="I340" t="s">
        <v>658</v>
      </c>
    </row>
    <row r="341" spans="1:9" x14ac:dyDescent="0.35">
      <c r="A341" t="s">
        <v>659</v>
      </c>
      <c r="B341" t="s">
        <v>131</v>
      </c>
      <c r="C341" t="s">
        <v>90</v>
      </c>
      <c r="E341">
        <v>177704.3</v>
      </c>
      <c r="G341" s="1">
        <v>45138</v>
      </c>
      <c r="H341" t="s">
        <v>9</v>
      </c>
      <c r="I341" t="s">
        <v>660</v>
      </c>
    </row>
    <row r="342" spans="1:9" x14ac:dyDescent="0.35">
      <c r="A342" t="s">
        <v>661</v>
      </c>
      <c r="B342" t="s">
        <v>61</v>
      </c>
      <c r="C342" t="s">
        <v>70</v>
      </c>
      <c r="G342" s="1">
        <v>45581</v>
      </c>
      <c r="H342" t="s">
        <v>13</v>
      </c>
      <c r="I342" t="s">
        <v>662</v>
      </c>
    </row>
    <row r="343" spans="1:9" x14ac:dyDescent="0.35">
      <c r="A343" t="s">
        <v>663</v>
      </c>
      <c r="B343" t="s">
        <v>58</v>
      </c>
      <c r="C343" t="s">
        <v>46</v>
      </c>
      <c r="E343">
        <v>220696.03</v>
      </c>
      <c r="G343" s="1">
        <v>45486</v>
      </c>
      <c r="I343" t="s">
        <v>664</v>
      </c>
    </row>
    <row r="344" spans="1:9" x14ac:dyDescent="0.35">
      <c r="A344" t="s">
        <v>665</v>
      </c>
      <c r="B344" t="s">
        <v>1066</v>
      </c>
      <c r="C344" t="s">
        <v>27</v>
      </c>
      <c r="E344">
        <v>52952.39</v>
      </c>
      <c r="G344" s="1">
        <v>45324</v>
      </c>
      <c r="H344" t="s">
        <v>13</v>
      </c>
      <c r="I344" t="s">
        <v>666</v>
      </c>
    </row>
    <row r="345" spans="1:9" x14ac:dyDescent="0.35">
      <c r="A345" t="s">
        <v>667</v>
      </c>
      <c r="B345" t="s">
        <v>34</v>
      </c>
      <c r="C345" t="s">
        <v>46</v>
      </c>
      <c r="E345">
        <v>203785.66</v>
      </c>
      <c r="G345" s="1">
        <v>45627</v>
      </c>
      <c r="I345" t="s">
        <v>668</v>
      </c>
    </row>
    <row r="346" spans="1:9" x14ac:dyDescent="0.35">
      <c r="A346" t="s">
        <v>669</v>
      </c>
      <c r="B346" t="s">
        <v>131</v>
      </c>
      <c r="C346" t="s">
        <v>1062</v>
      </c>
      <c r="D346">
        <v>18</v>
      </c>
      <c r="E346">
        <v>166977.26999999999</v>
      </c>
      <c r="F346">
        <v>3005590.86</v>
      </c>
      <c r="G346" s="1">
        <v>45726</v>
      </c>
      <c r="H346" t="s">
        <v>9</v>
      </c>
      <c r="I346" t="s">
        <v>670</v>
      </c>
    </row>
    <row r="347" spans="1:9" x14ac:dyDescent="0.35">
      <c r="A347" t="s">
        <v>671</v>
      </c>
      <c r="B347" t="s">
        <v>31</v>
      </c>
      <c r="C347" t="s">
        <v>46</v>
      </c>
      <c r="E347">
        <v>14541.79</v>
      </c>
      <c r="G347" s="1">
        <v>45720</v>
      </c>
      <c r="H347" t="s">
        <v>28</v>
      </c>
      <c r="I347" t="s">
        <v>672</v>
      </c>
    </row>
    <row r="348" spans="1:9" x14ac:dyDescent="0.35">
      <c r="A348" t="s">
        <v>673</v>
      </c>
      <c r="B348" t="s">
        <v>26</v>
      </c>
      <c r="C348" t="s">
        <v>12</v>
      </c>
      <c r="E348">
        <v>103652.24</v>
      </c>
      <c r="G348" s="1">
        <v>45567</v>
      </c>
      <c r="I348" t="s">
        <v>674</v>
      </c>
    </row>
    <row r="349" spans="1:9" x14ac:dyDescent="0.35">
      <c r="A349" t="s">
        <v>675</v>
      </c>
      <c r="B349" t="s">
        <v>16</v>
      </c>
      <c r="C349" t="s">
        <v>17</v>
      </c>
      <c r="E349">
        <v>193173.16</v>
      </c>
      <c r="G349" s="1">
        <v>45566</v>
      </c>
      <c r="H349" t="s">
        <v>47</v>
      </c>
      <c r="I349" t="s">
        <v>676</v>
      </c>
    </row>
    <row r="350" spans="1:9" x14ac:dyDescent="0.35">
      <c r="A350" t="s">
        <v>677</v>
      </c>
      <c r="B350" t="s">
        <v>31</v>
      </c>
      <c r="C350" t="s">
        <v>23</v>
      </c>
      <c r="E350">
        <v>114655.81</v>
      </c>
      <c r="G350" s="1">
        <v>45294</v>
      </c>
      <c r="H350" t="s">
        <v>28</v>
      </c>
      <c r="I350" t="s">
        <v>678</v>
      </c>
    </row>
    <row r="351" spans="1:9" x14ac:dyDescent="0.35">
      <c r="A351" t="s">
        <v>679</v>
      </c>
      <c r="B351" t="s">
        <v>31</v>
      </c>
      <c r="C351" t="s">
        <v>23</v>
      </c>
      <c r="E351">
        <v>157576.69</v>
      </c>
      <c r="G351" s="1">
        <v>45678</v>
      </c>
      <c r="H351" t="s">
        <v>9</v>
      </c>
      <c r="I351" t="s">
        <v>680</v>
      </c>
    </row>
    <row r="352" spans="1:9" x14ac:dyDescent="0.35">
      <c r="A352" t="s">
        <v>681</v>
      </c>
      <c r="B352" t="s">
        <v>34</v>
      </c>
      <c r="C352" t="s">
        <v>70</v>
      </c>
      <c r="D352">
        <v>24</v>
      </c>
      <c r="G352" s="1">
        <v>45157</v>
      </c>
      <c r="H352" t="s">
        <v>47</v>
      </c>
    </row>
    <row r="353" spans="1:9" x14ac:dyDescent="0.35">
      <c r="B353" t="s">
        <v>1079</v>
      </c>
      <c r="C353" t="s">
        <v>17</v>
      </c>
      <c r="E353">
        <v>209044.37</v>
      </c>
      <c r="G353" s="1">
        <v>45571</v>
      </c>
      <c r="H353" t="s">
        <v>13</v>
      </c>
      <c r="I353" t="s">
        <v>682</v>
      </c>
    </row>
    <row r="354" spans="1:9" x14ac:dyDescent="0.35">
      <c r="A354" t="s">
        <v>683</v>
      </c>
      <c r="B354" t="s">
        <v>16</v>
      </c>
      <c r="C354" t="s">
        <v>1062</v>
      </c>
      <c r="E354">
        <v>122773.62</v>
      </c>
      <c r="G354" s="1">
        <v>45491</v>
      </c>
      <c r="H354" t="s">
        <v>9</v>
      </c>
      <c r="I354" t="s">
        <v>684</v>
      </c>
    </row>
    <row r="355" spans="1:9" x14ac:dyDescent="0.35">
      <c r="A355" t="s">
        <v>685</v>
      </c>
      <c r="B355" t="s">
        <v>131</v>
      </c>
      <c r="C355" t="s">
        <v>27</v>
      </c>
      <c r="E355">
        <v>90316.6</v>
      </c>
      <c r="G355" s="1">
        <v>45250</v>
      </c>
      <c r="H355" t="s">
        <v>28</v>
      </c>
      <c r="I355" t="s">
        <v>686</v>
      </c>
    </row>
    <row r="356" spans="1:9" x14ac:dyDescent="0.35">
      <c r="A356" t="s">
        <v>687</v>
      </c>
      <c r="B356" t="s">
        <v>61</v>
      </c>
      <c r="C356" t="s">
        <v>17</v>
      </c>
      <c r="D356">
        <v>26</v>
      </c>
      <c r="E356">
        <v>55571.75</v>
      </c>
      <c r="F356">
        <v>1444865.5</v>
      </c>
      <c r="G356" s="1">
        <v>45525</v>
      </c>
      <c r="H356" t="s">
        <v>13</v>
      </c>
      <c r="I356" t="s">
        <v>688</v>
      </c>
    </row>
    <row r="357" spans="1:9" x14ac:dyDescent="0.35">
      <c r="A357" t="s">
        <v>689</v>
      </c>
      <c r="B357" t="s">
        <v>53</v>
      </c>
      <c r="C357" t="s">
        <v>12</v>
      </c>
      <c r="D357">
        <v>26</v>
      </c>
      <c r="E357">
        <v>161609.51999999999</v>
      </c>
      <c r="F357">
        <v>4201847.5199999996</v>
      </c>
      <c r="G357" s="1">
        <v>45606</v>
      </c>
      <c r="H357" t="s">
        <v>13</v>
      </c>
      <c r="I357" t="s">
        <v>690</v>
      </c>
    </row>
    <row r="358" spans="1:9" x14ac:dyDescent="0.35">
      <c r="A358" t="s">
        <v>691</v>
      </c>
      <c r="B358" t="s">
        <v>89</v>
      </c>
      <c r="C358" t="s">
        <v>70</v>
      </c>
      <c r="E358">
        <v>72669.97</v>
      </c>
      <c r="G358" s="1">
        <v>45678</v>
      </c>
      <c r="H358" t="s">
        <v>9</v>
      </c>
      <c r="I358" t="s">
        <v>692</v>
      </c>
    </row>
    <row r="359" spans="1:9" x14ac:dyDescent="0.35">
      <c r="A359" t="s">
        <v>693</v>
      </c>
      <c r="B359" t="s">
        <v>53</v>
      </c>
      <c r="C359" t="s">
        <v>27</v>
      </c>
      <c r="E359">
        <v>67990.69</v>
      </c>
      <c r="G359" s="1">
        <v>45599</v>
      </c>
      <c r="H359" t="s">
        <v>28</v>
      </c>
      <c r="I359" t="s">
        <v>694</v>
      </c>
    </row>
    <row r="360" spans="1:9" x14ac:dyDescent="0.35">
      <c r="A360" t="s">
        <v>695</v>
      </c>
      <c r="B360" t="s">
        <v>16</v>
      </c>
      <c r="C360" t="s">
        <v>12</v>
      </c>
      <c r="E360">
        <v>257333.6</v>
      </c>
      <c r="G360" s="1">
        <v>45719</v>
      </c>
      <c r="H360" t="s">
        <v>9</v>
      </c>
      <c r="I360" t="s">
        <v>696</v>
      </c>
    </row>
    <row r="361" spans="1:9" x14ac:dyDescent="0.35">
      <c r="A361" t="s">
        <v>697</v>
      </c>
      <c r="B361" t="s">
        <v>58</v>
      </c>
      <c r="C361" t="s">
        <v>46</v>
      </c>
      <c r="D361">
        <v>33</v>
      </c>
      <c r="E361">
        <v>43733.35</v>
      </c>
      <c r="F361">
        <v>1443200.55</v>
      </c>
      <c r="G361" s="1">
        <v>45771</v>
      </c>
      <c r="H361" t="s">
        <v>47</v>
      </c>
      <c r="I361" t="s">
        <v>698</v>
      </c>
    </row>
    <row r="362" spans="1:9" x14ac:dyDescent="0.35">
      <c r="A362" t="s">
        <v>699</v>
      </c>
      <c r="B362" t="s">
        <v>1086</v>
      </c>
      <c r="C362" t="s">
        <v>1075</v>
      </c>
      <c r="G362" s="1">
        <v>45413</v>
      </c>
      <c r="H362" t="s">
        <v>47</v>
      </c>
      <c r="I362" t="s">
        <v>700</v>
      </c>
    </row>
    <row r="363" spans="1:9" x14ac:dyDescent="0.35">
      <c r="A363" t="s">
        <v>701</v>
      </c>
      <c r="B363" t="s">
        <v>16</v>
      </c>
      <c r="C363" t="s">
        <v>70</v>
      </c>
      <c r="E363">
        <v>139176.04</v>
      </c>
      <c r="G363" s="1">
        <v>45232</v>
      </c>
      <c r="I363" t="s">
        <v>702</v>
      </c>
    </row>
    <row r="364" spans="1:9" x14ac:dyDescent="0.35">
      <c r="A364" t="s">
        <v>703</v>
      </c>
      <c r="B364" t="s">
        <v>45</v>
      </c>
      <c r="C364" t="s">
        <v>55</v>
      </c>
      <c r="D364">
        <v>46</v>
      </c>
      <c r="E364">
        <v>17758.37</v>
      </c>
      <c r="F364">
        <v>816885.02</v>
      </c>
      <c r="G364" s="1">
        <v>45756</v>
      </c>
      <c r="H364" t="s">
        <v>13</v>
      </c>
      <c r="I364" t="s">
        <v>704</v>
      </c>
    </row>
    <row r="365" spans="1:9" x14ac:dyDescent="0.35">
      <c r="A365" t="s">
        <v>705</v>
      </c>
      <c r="B365" t="s">
        <v>37</v>
      </c>
      <c r="C365" t="s">
        <v>23</v>
      </c>
      <c r="E365">
        <v>124096.91</v>
      </c>
      <c r="G365" s="1">
        <v>45646</v>
      </c>
      <c r="I365" t="s">
        <v>706</v>
      </c>
    </row>
    <row r="366" spans="1:9" x14ac:dyDescent="0.35">
      <c r="B366" t="s">
        <v>42</v>
      </c>
      <c r="C366" t="s">
        <v>90</v>
      </c>
      <c r="D366">
        <v>35</v>
      </c>
      <c r="E366">
        <v>125244.11</v>
      </c>
      <c r="F366">
        <v>4383543.8499999996</v>
      </c>
      <c r="G366" s="1">
        <v>45306</v>
      </c>
      <c r="H366" t="s">
        <v>28</v>
      </c>
    </row>
    <row r="367" spans="1:9" x14ac:dyDescent="0.35">
      <c r="A367" t="s">
        <v>707</v>
      </c>
      <c r="B367" t="s">
        <v>16</v>
      </c>
      <c r="C367" t="s">
        <v>23</v>
      </c>
      <c r="E367">
        <v>159232.54999999999</v>
      </c>
      <c r="G367" s="1">
        <v>45142</v>
      </c>
      <c r="H367" t="s">
        <v>47</v>
      </c>
      <c r="I367" t="s">
        <v>708</v>
      </c>
    </row>
    <row r="368" spans="1:9" x14ac:dyDescent="0.35">
      <c r="A368" t="s">
        <v>709</v>
      </c>
      <c r="B368" t="s">
        <v>45</v>
      </c>
      <c r="C368" t="s">
        <v>23</v>
      </c>
      <c r="E368">
        <v>116831.51</v>
      </c>
      <c r="G368" s="1">
        <v>45562</v>
      </c>
      <c r="I368" t="s">
        <v>710</v>
      </c>
    </row>
    <row r="369" spans="1:9" x14ac:dyDescent="0.35">
      <c r="A369" t="s">
        <v>711</v>
      </c>
      <c r="B369" t="s">
        <v>11</v>
      </c>
      <c r="C369" t="s">
        <v>17</v>
      </c>
      <c r="E369">
        <v>76871.199999999997</v>
      </c>
      <c r="G369" s="1">
        <v>45662</v>
      </c>
      <c r="H369" t="s">
        <v>47</v>
      </c>
      <c r="I369" t="s">
        <v>712</v>
      </c>
    </row>
    <row r="370" spans="1:9" x14ac:dyDescent="0.35">
      <c r="A370" t="s">
        <v>713</v>
      </c>
      <c r="B370" t="s">
        <v>89</v>
      </c>
      <c r="C370" t="s">
        <v>1078</v>
      </c>
      <c r="D370">
        <v>44</v>
      </c>
      <c r="E370">
        <v>99413.77</v>
      </c>
      <c r="F370">
        <v>4374205.88</v>
      </c>
      <c r="G370" s="1">
        <v>45203</v>
      </c>
      <c r="H370" t="s">
        <v>47</v>
      </c>
      <c r="I370" t="s">
        <v>714</v>
      </c>
    </row>
    <row r="371" spans="1:9" x14ac:dyDescent="0.35">
      <c r="A371" t="s">
        <v>715</v>
      </c>
      <c r="B371" t="s">
        <v>1079</v>
      </c>
      <c r="C371" t="s">
        <v>17</v>
      </c>
      <c r="E371">
        <v>24181.59</v>
      </c>
      <c r="G371" s="1">
        <v>45266</v>
      </c>
      <c r="H371" t="s">
        <v>47</v>
      </c>
      <c r="I371" t="s">
        <v>716</v>
      </c>
    </row>
    <row r="372" spans="1:9" x14ac:dyDescent="0.35">
      <c r="A372" t="s">
        <v>717</v>
      </c>
      <c r="B372" t="s">
        <v>16</v>
      </c>
      <c r="C372" t="s">
        <v>17</v>
      </c>
      <c r="G372" s="1">
        <v>45132</v>
      </c>
      <c r="H372" t="s">
        <v>9</v>
      </c>
      <c r="I372" t="s">
        <v>718</v>
      </c>
    </row>
    <row r="373" spans="1:9" x14ac:dyDescent="0.35">
      <c r="A373" t="s">
        <v>719</v>
      </c>
      <c r="B373" t="s">
        <v>85</v>
      </c>
      <c r="C373" t="s">
        <v>55</v>
      </c>
      <c r="E373">
        <v>135211.15</v>
      </c>
      <c r="G373" s="1">
        <v>45460</v>
      </c>
      <c r="I373" t="s">
        <v>720</v>
      </c>
    </row>
    <row r="374" spans="1:9" x14ac:dyDescent="0.35">
      <c r="A374" t="s">
        <v>721</v>
      </c>
      <c r="B374" t="s">
        <v>76</v>
      </c>
      <c r="C374" t="s">
        <v>55</v>
      </c>
      <c r="E374">
        <v>111637.71</v>
      </c>
      <c r="G374" s="1">
        <v>45361</v>
      </c>
      <c r="H374" t="s">
        <v>13</v>
      </c>
      <c r="I374" t="s">
        <v>722</v>
      </c>
    </row>
    <row r="375" spans="1:9" x14ac:dyDescent="0.35">
      <c r="A375" t="s">
        <v>723</v>
      </c>
      <c r="B375" t="s">
        <v>34</v>
      </c>
      <c r="C375" t="s">
        <v>70</v>
      </c>
      <c r="D375">
        <v>55</v>
      </c>
      <c r="E375">
        <v>160922.84</v>
      </c>
      <c r="F375">
        <v>8850756.1999999993</v>
      </c>
      <c r="G375" s="1">
        <v>45443</v>
      </c>
      <c r="I375" t="s">
        <v>724</v>
      </c>
    </row>
    <row r="376" spans="1:9" x14ac:dyDescent="0.35">
      <c r="A376" t="s">
        <v>725</v>
      </c>
      <c r="B376" t="s">
        <v>42</v>
      </c>
      <c r="C376" t="s">
        <v>17</v>
      </c>
      <c r="E376">
        <v>248907.18</v>
      </c>
      <c r="G376" s="1">
        <v>45235</v>
      </c>
      <c r="H376" t="s">
        <v>13</v>
      </c>
      <c r="I376" t="s">
        <v>726</v>
      </c>
    </row>
    <row r="377" spans="1:9" x14ac:dyDescent="0.35">
      <c r="A377" t="s">
        <v>727</v>
      </c>
      <c r="B377" t="s">
        <v>34</v>
      </c>
      <c r="C377" t="s">
        <v>55</v>
      </c>
      <c r="E377">
        <v>15935.22</v>
      </c>
      <c r="G377" s="1">
        <v>45438</v>
      </c>
      <c r="I377" t="s">
        <v>728</v>
      </c>
    </row>
    <row r="378" spans="1:9" x14ac:dyDescent="0.35">
      <c r="A378" t="s">
        <v>729</v>
      </c>
      <c r="B378" t="s">
        <v>11</v>
      </c>
      <c r="C378" t="s">
        <v>1063</v>
      </c>
      <c r="E378">
        <v>113461.81</v>
      </c>
      <c r="G378" s="1">
        <v>45654</v>
      </c>
      <c r="I378" t="s">
        <v>730</v>
      </c>
    </row>
    <row r="379" spans="1:9" x14ac:dyDescent="0.35">
      <c r="B379" t="s">
        <v>31</v>
      </c>
      <c r="C379" t="s">
        <v>27</v>
      </c>
      <c r="D379">
        <v>14</v>
      </c>
      <c r="E379">
        <v>181688.35</v>
      </c>
      <c r="F379">
        <v>2543636.9</v>
      </c>
      <c r="G379" s="1">
        <v>45276</v>
      </c>
      <c r="H379" t="s">
        <v>47</v>
      </c>
      <c r="I379" t="s">
        <v>731</v>
      </c>
    </row>
    <row r="380" spans="1:9" x14ac:dyDescent="0.35">
      <c r="A380" t="s">
        <v>732</v>
      </c>
      <c r="B380" t="s">
        <v>1070</v>
      </c>
      <c r="C380" t="s">
        <v>70</v>
      </c>
      <c r="E380">
        <v>12344.49</v>
      </c>
      <c r="G380" s="1">
        <v>45436</v>
      </c>
      <c r="H380" t="s">
        <v>13</v>
      </c>
    </row>
    <row r="381" spans="1:9" x14ac:dyDescent="0.35">
      <c r="A381" t="s">
        <v>733</v>
      </c>
      <c r="B381" t="s">
        <v>26</v>
      </c>
      <c r="C381" t="s">
        <v>27</v>
      </c>
      <c r="E381">
        <v>22298.91</v>
      </c>
      <c r="G381" s="1">
        <v>45507</v>
      </c>
      <c r="H381" t="s">
        <v>13</v>
      </c>
      <c r="I381" t="s">
        <v>734</v>
      </c>
    </row>
    <row r="382" spans="1:9" x14ac:dyDescent="0.35">
      <c r="A382" t="s">
        <v>735</v>
      </c>
      <c r="B382" t="s">
        <v>34</v>
      </c>
      <c r="C382" t="s">
        <v>70</v>
      </c>
      <c r="G382" s="1">
        <v>45719</v>
      </c>
      <c r="H382" t="s">
        <v>13</v>
      </c>
      <c r="I382" t="s">
        <v>736</v>
      </c>
    </row>
    <row r="383" spans="1:9" x14ac:dyDescent="0.35">
      <c r="A383" t="s">
        <v>737</v>
      </c>
      <c r="B383" t="s">
        <v>45</v>
      </c>
      <c r="C383" t="s">
        <v>90</v>
      </c>
      <c r="E383">
        <v>241492.86</v>
      </c>
      <c r="G383" s="1">
        <v>45592</v>
      </c>
      <c r="I383" t="s">
        <v>738</v>
      </c>
    </row>
    <row r="384" spans="1:9" x14ac:dyDescent="0.35">
      <c r="A384" t="s">
        <v>1095</v>
      </c>
      <c r="B384" t="s">
        <v>109</v>
      </c>
      <c r="C384" t="s">
        <v>55</v>
      </c>
      <c r="E384">
        <v>176481.31</v>
      </c>
      <c r="G384" s="1">
        <v>45832</v>
      </c>
      <c r="H384" t="s">
        <v>13</v>
      </c>
      <c r="I384" t="s">
        <v>739</v>
      </c>
    </row>
    <row r="385" spans="1:9" x14ac:dyDescent="0.35">
      <c r="A385" t="s">
        <v>740</v>
      </c>
      <c r="B385" t="s">
        <v>79</v>
      </c>
      <c r="C385" t="s">
        <v>17</v>
      </c>
      <c r="E385">
        <v>201599.43</v>
      </c>
      <c r="G385" s="1">
        <v>45484</v>
      </c>
      <c r="I385" t="s">
        <v>741</v>
      </c>
    </row>
    <row r="386" spans="1:9" x14ac:dyDescent="0.35">
      <c r="A386" t="s">
        <v>742</v>
      </c>
      <c r="B386" t="s">
        <v>34</v>
      </c>
      <c r="C386" t="s">
        <v>1069</v>
      </c>
      <c r="D386">
        <v>58</v>
      </c>
      <c r="E386">
        <v>65496.45</v>
      </c>
      <c r="F386">
        <v>3798794.1</v>
      </c>
      <c r="G386" s="1">
        <v>45795</v>
      </c>
      <c r="H386" t="s">
        <v>9</v>
      </c>
      <c r="I386" t="s">
        <v>743</v>
      </c>
    </row>
    <row r="387" spans="1:9" x14ac:dyDescent="0.35">
      <c r="A387" t="s">
        <v>744</v>
      </c>
      <c r="B387" t="s">
        <v>26</v>
      </c>
      <c r="C387" t="s">
        <v>70</v>
      </c>
      <c r="E387">
        <v>63062.28</v>
      </c>
      <c r="G387" s="1">
        <v>45776</v>
      </c>
      <c r="H387" t="s">
        <v>47</v>
      </c>
      <c r="I387" t="s">
        <v>745</v>
      </c>
    </row>
    <row r="388" spans="1:9" x14ac:dyDescent="0.35">
      <c r="A388" t="s">
        <v>746</v>
      </c>
      <c r="B388" t="s">
        <v>42</v>
      </c>
      <c r="C388" t="s">
        <v>12</v>
      </c>
      <c r="E388">
        <v>272156.33</v>
      </c>
      <c r="G388" s="1">
        <v>45689</v>
      </c>
      <c r="H388" t="s">
        <v>28</v>
      </c>
      <c r="I388" t="s">
        <v>747</v>
      </c>
    </row>
    <row r="389" spans="1:9" x14ac:dyDescent="0.35">
      <c r="A389" t="s">
        <v>748</v>
      </c>
      <c r="B389" t="s">
        <v>1079</v>
      </c>
      <c r="C389" t="s">
        <v>17</v>
      </c>
      <c r="E389">
        <v>91304.81</v>
      </c>
      <c r="G389" s="1">
        <v>45682</v>
      </c>
      <c r="H389" t="s">
        <v>9</v>
      </c>
      <c r="I389" t="s">
        <v>749</v>
      </c>
    </row>
    <row r="390" spans="1:9" x14ac:dyDescent="0.35">
      <c r="A390" t="s">
        <v>750</v>
      </c>
      <c r="B390" t="s">
        <v>45</v>
      </c>
      <c r="C390" t="s">
        <v>90</v>
      </c>
      <c r="D390">
        <v>8</v>
      </c>
      <c r="E390">
        <v>272743.75</v>
      </c>
      <c r="F390">
        <v>2181950</v>
      </c>
      <c r="G390" s="1">
        <v>45166</v>
      </c>
      <c r="H390" t="s">
        <v>13</v>
      </c>
      <c r="I390" t="s">
        <v>751</v>
      </c>
    </row>
    <row r="391" spans="1:9" x14ac:dyDescent="0.35">
      <c r="A391" t="s">
        <v>752</v>
      </c>
      <c r="B391" t="s">
        <v>131</v>
      </c>
      <c r="C391" t="s">
        <v>12</v>
      </c>
      <c r="E391">
        <v>63936.43</v>
      </c>
      <c r="G391" s="1">
        <v>45666</v>
      </c>
      <c r="H391" t="s">
        <v>47</v>
      </c>
      <c r="I391" t="s">
        <v>753</v>
      </c>
    </row>
    <row r="392" spans="1:9" x14ac:dyDescent="0.35">
      <c r="B392" t="s">
        <v>109</v>
      </c>
      <c r="C392" t="s">
        <v>55</v>
      </c>
      <c r="G392" s="1">
        <v>45225</v>
      </c>
      <c r="H392" t="s">
        <v>47</v>
      </c>
      <c r="I392" t="s">
        <v>754</v>
      </c>
    </row>
    <row r="393" spans="1:9" x14ac:dyDescent="0.35">
      <c r="A393" t="s">
        <v>755</v>
      </c>
      <c r="B393" t="s">
        <v>45</v>
      </c>
      <c r="C393" t="s">
        <v>46</v>
      </c>
      <c r="E393">
        <v>57412.1</v>
      </c>
      <c r="G393" s="1">
        <v>45520</v>
      </c>
      <c r="H393" t="s">
        <v>47</v>
      </c>
      <c r="I393" t="s">
        <v>756</v>
      </c>
    </row>
    <row r="394" spans="1:9" x14ac:dyDescent="0.35">
      <c r="A394" t="s">
        <v>757</v>
      </c>
      <c r="B394" t="s">
        <v>109</v>
      </c>
      <c r="C394" t="s">
        <v>1062</v>
      </c>
      <c r="D394">
        <v>87</v>
      </c>
      <c r="E394">
        <v>222571.82</v>
      </c>
      <c r="F394">
        <v>19363748.34</v>
      </c>
      <c r="G394" s="1">
        <v>45279</v>
      </c>
      <c r="H394" t="s">
        <v>47</v>
      </c>
    </row>
    <row r="395" spans="1:9" x14ac:dyDescent="0.35">
      <c r="A395" t="s">
        <v>758</v>
      </c>
      <c r="B395" t="s">
        <v>53</v>
      </c>
      <c r="C395" t="s">
        <v>46</v>
      </c>
      <c r="D395">
        <v>4</v>
      </c>
      <c r="E395">
        <v>224190.33</v>
      </c>
      <c r="F395">
        <v>896761.32</v>
      </c>
      <c r="G395" s="1">
        <v>45553</v>
      </c>
      <c r="H395" t="s">
        <v>13</v>
      </c>
      <c r="I395" t="s">
        <v>759</v>
      </c>
    </row>
    <row r="396" spans="1:9" x14ac:dyDescent="0.35">
      <c r="A396" t="s">
        <v>760</v>
      </c>
      <c r="B396" t="s">
        <v>20</v>
      </c>
      <c r="C396" t="s">
        <v>17</v>
      </c>
      <c r="E396">
        <v>226422.06</v>
      </c>
      <c r="G396" s="1">
        <v>45370</v>
      </c>
      <c r="H396" t="s">
        <v>47</v>
      </c>
      <c r="I396" t="s">
        <v>761</v>
      </c>
    </row>
    <row r="397" spans="1:9" x14ac:dyDescent="0.35">
      <c r="A397" t="s">
        <v>762</v>
      </c>
      <c r="B397" t="s">
        <v>31</v>
      </c>
      <c r="C397" t="s">
        <v>90</v>
      </c>
      <c r="D397">
        <v>57</v>
      </c>
      <c r="E397">
        <v>274375.17</v>
      </c>
      <c r="F397">
        <v>15639384.689999999</v>
      </c>
      <c r="G397" s="1">
        <v>45632</v>
      </c>
      <c r="H397" t="s">
        <v>28</v>
      </c>
      <c r="I397" t="s">
        <v>763</v>
      </c>
    </row>
    <row r="398" spans="1:9" x14ac:dyDescent="0.35">
      <c r="A398" t="s">
        <v>764</v>
      </c>
      <c r="B398" t="s">
        <v>1080</v>
      </c>
      <c r="C398" t="s">
        <v>12</v>
      </c>
      <c r="D398">
        <v>17</v>
      </c>
      <c r="E398">
        <v>208840.07</v>
      </c>
      <c r="F398">
        <v>3550281.19</v>
      </c>
      <c r="G398" s="1">
        <v>45489</v>
      </c>
      <c r="H398" t="s">
        <v>28</v>
      </c>
      <c r="I398" t="s">
        <v>765</v>
      </c>
    </row>
    <row r="399" spans="1:9" x14ac:dyDescent="0.35">
      <c r="A399" t="s">
        <v>766</v>
      </c>
      <c r="B399" t="s">
        <v>34</v>
      </c>
      <c r="C399" t="s">
        <v>70</v>
      </c>
      <c r="E399">
        <v>211278.69</v>
      </c>
      <c r="G399" s="1">
        <v>45526</v>
      </c>
      <c r="H399" t="s">
        <v>47</v>
      </c>
      <c r="I399" t="s">
        <v>767</v>
      </c>
    </row>
    <row r="400" spans="1:9" x14ac:dyDescent="0.35">
      <c r="A400" t="s">
        <v>768</v>
      </c>
      <c r="B400" t="s">
        <v>42</v>
      </c>
      <c r="C400" t="s">
        <v>12</v>
      </c>
      <c r="E400">
        <v>119291.3</v>
      </c>
      <c r="G400" s="1">
        <v>45410</v>
      </c>
      <c r="I400" t="s">
        <v>769</v>
      </c>
    </row>
    <row r="401" spans="1:9" x14ac:dyDescent="0.35">
      <c r="A401" t="s">
        <v>770</v>
      </c>
      <c r="B401" t="s">
        <v>61</v>
      </c>
      <c r="C401" t="s">
        <v>46</v>
      </c>
      <c r="E401">
        <v>72179.62</v>
      </c>
      <c r="G401" s="1">
        <v>45361</v>
      </c>
      <c r="H401" t="s">
        <v>13</v>
      </c>
      <c r="I401" t="s">
        <v>771</v>
      </c>
    </row>
    <row r="402" spans="1:9" x14ac:dyDescent="0.35">
      <c r="A402" t="s">
        <v>772</v>
      </c>
      <c r="B402" t="s">
        <v>26</v>
      </c>
      <c r="C402" t="s">
        <v>1062</v>
      </c>
      <c r="G402" s="1">
        <v>45252</v>
      </c>
      <c r="H402" t="s">
        <v>28</v>
      </c>
      <c r="I402" s="2" t="s">
        <v>773</v>
      </c>
    </row>
    <row r="403" spans="1:9" x14ac:dyDescent="0.35">
      <c r="A403" t="s">
        <v>774</v>
      </c>
      <c r="B403" t="s">
        <v>20</v>
      </c>
      <c r="C403" t="s">
        <v>23</v>
      </c>
      <c r="E403">
        <v>96823.7</v>
      </c>
      <c r="G403" s="1">
        <v>45475</v>
      </c>
      <c r="H403" t="s">
        <v>28</v>
      </c>
      <c r="I403" t="s">
        <v>775</v>
      </c>
    </row>
    <row r="404" spans="1:9" x14ac:dyDescent="0.35">
      <c r="A404" t="s">
        <v>776</v>
      </c>
      <c r="B404" t="s">
        <v>85</v>
      </c>
      <c r="C404" t="s">
        <v>55</v>
      </c>
      <c r="E404">
        <v>85276.23</v>
      </c>
      <c r="G404" s="1">
        <v>45826</v>
      </c>
      <c r="H404" t="s">
        <v>28</v>
      </c>
      <c r="I404" t="s">
        <v>777</v>
      </c>
    </row>
    <row r="405" spans="1:9" x14ac:dyDescent="0.35">
      <c r="B405" t="s">
        <v>85</v>
      </c>
      <c r="C405" t="s">
        <v>70</v>
      </c>
      <c r="E405">
        <v>140142.01</v>
      </c>
      <c r="G405" s="1">
        <v>45532</v>
      </c>
      <c r="H405" t="s">
        <v>9</v>
      </c>
      <c r="I405" t="s">
        <v>778</v>
      </c>
    </row>
    <row r="406" spans="1:9" x14ac:dyDescent="0.35">
      <c r="A406" t="s">
        <v>779</v>
      </c>
      <c r="B406" t="s">
        <v>42</v>
      </c>
      <c r="C406" t="s">
        <v>46</v>
      </c>
      <c r="D406">
        <v>98</v>
      </c>
      <c r="E406">
        <v>194792.04</v>
      </c>
      <c r="F406">
        <v>19089619.920000002</v>
      </c>
      <c r="G406" s="1">
        <v>45383</v>
      </c>
      <c r="H406" t="s">
        <v>9</v>
      </c>
      <c r="I406" t="s">
        <v>780</v>
      </c>
    </row>
    <row r="407" spans="1:9" x14ac:dyDescent="0.35">
      <c r="A407" t="s">
        <v>781</v>
      </c>
      <c r="B407" t="s">
        <v>1066</v>
      </c>
      <c r="C407" t="s">
        <v>55</v>
      </c>
      <c r="D407">
        <v>74</v>
      </c>
      <c r="E407">
        <v>92872.47</v>
      </c>
      <c r="F407">
        <v>6872562.7800000003</v>
      </c>
      <c r="G407" s="1">
        <v>45542</v>
      </c>
      <c r="H407" t="s">
        <v>28</v>
      </c>
      <c r="I407" t="s">
        <v>782</v>
      </c>
    </row>
    <row r="408" spans="1:9" x14ac:dyDescent="0.35">
      <c r="A408" t="s">
        <v>783</v>
      </c>
      <c r="B408" t="s">
        <v>85</v>
      </c>
      <c r="C408" t="s">
        <v>70</v>
      </c>
      <c r="E408">
        <v>108213.56</v>
      </c>
      <c r="G408" s="1">
        <v>45393</v>
      </c>
    </row>
    <row r="409" spans="1:9" x14ac:dyDescent="0.35">
      <c r="A409" t="s">
        <v>784</v>
      </c>
      <c r="B409" t="s">
        <v>89</v>
      </c>
      <c r="C409" t="s">
        <v>55</v>
      </c>
      <c r="E409">
        <v>264902.18</v>
      </c>
      <c r="G409" s="1">
        <v>45642</v>
      </c>
      <c r="H409" t="s">
        <v>13</v>
      </c>
      <c r="I409" t="s">
        <v>785</v>
      </c>
    </row>
    <row r="410" spans="1:9" x14ac:dyDescent="0.35">
      <c r="A410" t="s">
        <v>786</v>
      </c>
      <c r="B410" t="s">
        <v>42</v>
      </c>
      <c r="C410" t="s">
        <v>1062</v>
      </c>
      <c r="E410">
        <v>140068.22</v>
      </c>
      <c r="G410" s="1">
        <v>45717</v>
      </c>
      <c r="H410" t="s">
        <v>13</v>
      </c>
      <c r="I410" t="s">
        <v>787</v>
      </c>
    </row>
    <row r="411" spans="1:9" x14ac:dyDescent="0.35">
      <c r="A411" t="s">
        <v>788</v>
      </c>
      <c r="B411" t="s">
        <v>20</v>
      </c>
      <c r="C411" t="s">
        <v>90</v>
      </c>
      <c r="D411">
        <v>32</v>
      </c>
      <c r="E411">
        <v>240943.58</v>
      </c>
      <c r="F411">
        <v>7710194.5599999996</v>
      </c>
      <c r="G411" s="1">
        <v>45791</v>
      </c>
      <c r="H411" t="s">
        <v>28</v>
      </c>
      <c r="I411" t="s">
        <v>789</v>
      </c>
    </row>
    <row r="412" spans="1:9" x14ac:dyDescent="0.35">
      <c r="A412" t="s">
        <v>790</v>
      </c>
      <c r="B412" t="s">
        <v>16</v>
      </c>
      <c r="C412" t="s">
        <v>46</v>
      </c>
      <c r="G412" s="1">
        <v>45677</v>
      </c>
      <c r="H412" t="s">
        <v>28</v>
      </c>
      <c r="I412" t="s">
        <v>791</v>
      </c>
    </row>
    <row r="413" spans="1:9" x14ac:dyDescent="0.35">
      <c r="A413" t="s">
        <v>792</v>
      </c>
      <c r="B413" t="s">
        <v>85</v>
      </c>
      <c r="C413" t="s">
        <v>27</v>
      </c>
      <c r="E413">
        <v>216862.87</v>
      </c>
      <c r="G413" s="1">
        <v>45646</v>
      </c>
      <c r="H413" t="s">
        <v>13</v>
      </c>
      <c r="I413" t="s">
        <v>793</v>
      </c>
    </row>
    <row r="414" spans="1:9" x14ac:dyDescent="0.35">
      <c r="A414" t="s">
        <v>794</v>
      </c>
      <c r="B414" t="s">
        <v>31</v>
      </c>
      <c r="C414" t="s">
        <v>23</v>
      </c>
      <c r="E414">
        <v>228607.88</v>
      </c>
      <c r="G414" s="1">
        <v>45617</v>
      </c>
      <c r="I414" t="s">
        <v>795</v>
      </c>
    </row>
    <row r="415" spans="1:9" x14ac:dyDescent="0.35">
      <c r="A415" t="s">
        <v>796</v>
      </c>
      <c r="B415" t="s">
        <v>105</v>
      </c>
      <c r="C415" t="s">
        <v>27</v>
      </c>
      <c r="D415">
        <v>72</v>
      </c>
      <c r="E415">
        <v>96409.87</v>
      </c>
      <c r="F415">
        <v>6941510.6399999997</v>
      </c>
      <c r="G415" s="1">
        <v>45742</v>
      </c>
      <c r="H415" t="s">
        <v>9</v>
      </c>
      <c r="I415" t="s">
        <v>797</v>
      </c>
    </row>
    <row r="416" spans="1:9" x14ac:dyDescent="0.35">
      <c r="A416" t="s">
        <v>798</v>
      </c>
      <c r="B416" t="s">
        <v>1084</v>
      </c>
      <c r="C416" t="s">
        <v>46</v>
      </c>
      <c r="E416">
        <v>61336.68</v>
      </c>
      <c r="G416" s="1">
        <v>45656</v>
      </c>
      <c r="H416" t="s">
        <v>9</v>
      </c>
      <c r="I416" t="s">
        <v>799</v>
      </c>
    </row>
    <row r="417" spans="1:9" x14ac:dyDescent="0.35">
      <c r="A417" t="s">
        <v>800</v>
      </c>
      <c r="B417" t="s">
        <v>213</v>
      </c>
      <c r="C417" t="s">
        <v>70</v>
      </c>
      <c r="E417">
        <v>94220.14</v>
      </c>
      <c r="G417" s="1">
        <v>45323</v>
      </c>
      <c r="H417" t="s">
        <v>28</v>
      </c>
      <c r="I417" t="s">
        <v>801</v>
      </c>
    </row>
    <row r="418" spans="1:9" x14ac:dyDescent="0.35">
      <c r="B418" t="s">
        <v>20</v>
      </c>
      <c r="C418" t="s">
        <v>1068</v>
      </c>
      <c r="E418">
        <v>14191.78</v>
      </c>
      <c r="G418" s="1">
        <v>45591</v>
      </c>
      <c r="H418" t="s">
        <v>13</v>
      </c>
      <c r="I418" t="s">
        <v>802</v>
      </c>
    </row>
    <row r="419" spans="1:9" x14ac:dyDescent="0.35">
      <c r="A419" t="s">
        <v>803</v>
      </c>
      <c r="B419" t="s">
        <v>53</v>
      </c>
      <c r="C419" t="s">
        <v>46</v>
      </c>
      <c r="E419">
        <v>259293.41</v>
      </c>
      <c r="G419" s="1">
        <v>45494</v>
      </c>
      <c r="H419" t="s">
        <v>9</v>
      </c>
      <c r="I419" t="s">
        <v>804</v>
      </c>
    </row>
    <row r="420" spans="1:9" x14ac:dyDescent="0.35">
      <c r="A420" t="s">
        <v>805</v>
      </c>
      <c r="B420" t="s">
        <v>76</v>
      </c>
      <c r="C420" t="s">
        <v>17</v>
      </c>
      <c r="D420">
        <v>63</v>
      </c>
      <c r="E420">
        <v>222505.09</v>
      </c>
      <c r="F420">
        <v>14017820.67</v>
      </c>
      <c r="G420" s="1">
        <v>45267</v>
      </c>
      <c r="I420" t="s">
        <v>806</v>
      </c>
    </row>
    <row r="421" spans="1:9" x14ac:dyDescent="0.35">
      <c r="A421" t="s">
        <v>807</v>
      </c>
      <c r="B421" t="s">
        <v>109</v>
      </c>
      <c r="C421" t="s">
        <v>12</v>
      </c>
      <c r="D421">
        <v>16</v>
      </c>
      <c r="E421">
        <v>5357.86</v>
      </c>
      <c r="F421">
        <v>85725.759999999995</v>
      </c>
      <c r="G421" s="1">
        <v>45309</v>
      </c>
      <c r="H421" t="s">
        <v>28</v>
      </c>
      <c r="I421" t="s">
        <v>808</v>
      </c>
    </row>
    <row r="422" spans="1:9" x14ac:dyDescent="0.35">
      <c r="A422" t="s">
        <v>809</v>
      </c>
      <c r="B422" t="s">
        <v>131</v>
      </c>
      <c r="C422" t="s">
        <v>23</v>
      </c>
      <c r="G422" s="1">
        <v>45334</v>
      </c>
      <c r="H422" t="s">
        <v>47</v>
      </c>
    </row>
    <row r="423" spans="1:9" x14ac:dyDescent="0.35">
      <c r="A423" t="s">
        <v>810</v>
      </c>
      <c r="B423" t="s">
        <v>20</v>
      </c>
      <c r="C423" t="s">
        <v>90</v>
      </c>
      <c r="E423">
        <v>166216.81</v>
      </c>
      <c r="G423" s="1">
        <v>45551</v>
      </c>
      <c r="H423" t="s">
        <v>28</v>
      </c>
      <c r="I423" t="s">
        <v>811</v>
      </c>
    </row>
    <row r="424" spans="1:9" x14ac:dyDescent="0.35">
      <c r="A424" t="s">
        <v>812</v>
      </c>
      <c r="B424" t="s">
        <v>20</v>
      </c>
      <c r="C424" t="s">
        <v>90</v>
      </c>
      <c r="D424">
        <v>57</v>
      </c>
      <c r="E424">
        <v>175417.55</v>
      </c>
      <c r="F424">
        <v>9998800.3499999996</v>
      </c>
      <c r="G424" s="1">
        <v>45349</v>
      </c>
      <c r="H424" t="s">
        <v>47</v>
      </c>
      <c r="I424" t="s">
        <v>813</v>
      </c>
    </row>
    <row r="425" spans="1:9" x14ac:dyDescent="0.35">
      <c r="A425" t="s">
        <v>814</v>
      </c>
      <c r="B425" t="s">
        <v>1066</v>
      </c>
      <c r="C425" t="s">
        <v>55</v>
      </c>
      <c r="E425">
        <v>216143.58</v>
      </c>
      <c r="G425" s="1">
        <v>45292</v>
      </c>
      <c r="H425" t="s">
        <v>28</v>
      </c>
      <c r="I425" t="s">
        <v>815</v>
      </c>
    </row>
    <row r="426" spans="1:9" x14ac:dyDescent="0.35">
      <c r="A426" t="s">
        <v>816</v>
      </c>
      <c r="B426" t="s">
        <v>53</v>
      </c>
      <c r="C426" t="s">
        <v>1072</v>
      </c>
      <c r="E426">
        <v>88910.09</v>
      </c>
      <c r="G426" s="1">
        <v>45349</v>
      </c>
      <c r="H426" t="s">
        <v>13</v>
      </c>
      <c r="I426" t="s">
        <v>817</v>
      </c>
    </row>
    <row r="427" spans="1:9" x14ac:dyDescent="0.35">
      <c r="A427" t="s">
        <v>818</v>
      </c>
      <c r="B427" t="s">
        <v>105</v>
      </c>
      <c r="C427" t="s">
        <v>23</v>
      </c>
      <c r="D427">
        <v>91</v>
      </c>
      <c r="E427">
        <v>59259.44</v>
      </c>
      <c r="F427">
        <v>5392609.04</v>
      </c>
      <c r="G427" s="1">
        <v>45716</v>
      </c>
      <c r="H427" t="s">
        <v>13</v>
      </c>
      <c r="I427" t="s">
        <v>819</v>
      </c>
    </row>
    <row r="428" spans="1:9" x14ac:dyDescent="0.35">
      <c r="A428" t="s">
        <v>820</v>
      </c>
      <c r="B428" t="s">
        <v>89</v>
      </c>
      <c r="C428" t="s">
        <v>55</v>
      </c>
      <c r="E428">
        <v>69390.58</v>
      </c>
      <c r="G428" s="1">
        <v>45342</v>
      </c>
      <c r="H428" t="s">
        <v>13</v>
      </c>
      <c r="I428" t="s">
        <v>821</v>
      </c>
    </row>
    <row r="429" spans="1:9" x14ac:dyDescent="0.35">
      <c r="A429" t="s">
        <v>822</v>
      </c>
      <c r="B429" t="s">
        <v>16</v>
      </c>
      <c r="C429" t="s">
        <v>55</v>
      </c>
      <c r="E429">
        <v>171151.96</v>
      </c>
      <c r="G429" s="1">
        <v>45665</v>
      </c>
      <c r="H429" t="s">
        <v>13</v>
      </c>
      <c r="I429" t="s">
        <v>823</v>
      </c>
    </row>
    <row r="430" spans="1:9" x14ac:dyDescent="0.35">
      <c r="A430" t="s">
        <v>824</v>
      </c>
      <c r="B430" t="s">
        <v>37</v>
      </c>
      <c r="C430" t="s">
        <v>70</v>
      </c>
      <c r="E430">
        <v>74096.14</v>
      </c>
      <c r="G430" s="1">
        <v>45278</v>
      </c>
      <c r="I430" t="s">
        <v>825</v>
      </c>
    </row>
    <row r="431" spans="1:9" x14ac:dyDescent="0.35">
      <c r="B431" t="s">
        <v>16</v>
      </c>
      <c r="C431" t="s">
        <v>12</v>
      </c>
      <c r="E431">
        <v>165417.44</v>
      </c>
      <c r="G431" s="1">
        <v>45654</v>
      </c>
      <c r="I431" t="s">
        <v>826</v>
      </c>
    </row>
    <row r="432" spans="1:9" x14ac:dyDescent="0.35">
      <c r="A432" t="s">
        <v>827</v>
      </c>
      <c r="B432" t="s">
        <v>109</v>
      </c>
      <c r="C432" t="s">
        <v>27</v>
      </c>
      <c r="D432">
        <v>82</v>
      </c>
      <c r="G432" s="1">
        <v>45665</v>
      </c>
      <c r="H432" t="s">
        <v>47</v>
      </c>
      <c r="I432" t="s">
        <v>828</v>
      </c>
    </row>
    <row r="433" spans="1:9" x14ac:dyDescent="0.35">
      <c r="A433" t="s">
        <v>829</v>
      </c>
      <c r="B433" t="s">
        <v>58</v>
      </c>
      <c r="C433" t="s">
        <v>70</v>
      </c>
      <c r="E433">
        <v>283067.63</v>
      </c>
      <c r="G433" s="1">
        <v>45497</v>
      </c>
      <c r="I433" t="s">
        <v>830</v>
      </c>
    </row>
    <row r="434" spans="1:9" x14ac:dyDescent="0.35">
      <c r="A434" t="s">
        <v>831</v>
      </c>
      <c r="B434" t="s">
        <v>1096</v>
      </c>
      <c r="C434" t="s">
        <v>1078</v>
      </c>
      <c r="D434">
        <v>29</v>
      </c>
      <c r="E434">
        <v>101600.5</v>
      </c>
      <c r="F434">
        <v>2946414.5</v>
      </c>
      <c r="G434" s="1">
        <v>45364</v>
      </c>
      <c r="H434" t="s">
        <v>28</v>
      </c>
      <c r="I434" t="s">
        <v>832</v>
      </c>
    </row>
    <row r="435" spans="1:9" x14ac:dyDescent="0.35">
      <c r="A435" t="s">
        <v>833</v>
      </c>
      <c r="B435" t="s">
        <v>34</v>
      </c>
      <c r="C435" t="s">
        <v>12</v>
      </c>
      <c r="D435">
        <v>26</v>
      </c>
      <c r="E435">
        <v>229126.51</v>
      </c>
      <c r="F435">
        <v>5957289.2599999998</v>
      </c>
      <c r="G435" s="1">
        <v>45490</v>
      </c>
      <c r="H435" t="s">
        <v>13</v>
      </c>
      <c r="I435" t="s">
        <v>834</v>
      </c>
    </row>
    <row r="436" spans="1:9" x14ac:dyDescent="0.35">
      <c r="A436" t="s">
        <v>835</v>
      </c>
      <c r="B436" t="s">
        <v>89</v>
      </c>
      <c r="C436" t="s">
        <v>12</v>
      </c>
      <c r="E436">
        <v>146842.01999999999</v>
      </c>
      <c r="G436" s="1">
        <v>45388</v>
      </c>
      <c r="H436" t="s">
        <v>9</v>
      </c>
    </row>
    <row r="437" spans="1:9" x14ac:dyDescent="0.35">
      <c r="A437" t="s">
        <v>836</v>
      </c>
      <c r="B437" t="s">
        <v>11</v>
      </c>
      <c r="C437" t="s">
        <v>46</v>
      </c>
      <c r="E437">
        <v>217205.6</v>
      </c>
      <c r="G437" s="1">
        <v>45553</v>
      </c>
      <c r="H437" t="s">
        <v>9</v>
      </c>
      <c r="I437" t="s">
        <v>837</v>
      </c>
    </row>
    <row r="438" spans="1:9" x14ac:dyDescent="0.35">
      <c r="A438" t="s">
        <v>838</v>
      </c>
      <c r="B438" t="s">
        <v>31</v>
      </c>
      <c r="C438" t="s">
        <v>70</v>
      </c>
      <c r="E438">
        <v>222008.43</v>
      </c>
      <c r="G438" s="1">
        <v>45843</v>
      </c>
      <c r="H438" t="s">
        <v>9</v>
      </c>
      <c r="I438" t="s">
        <v>839</v>
      </c>
    </row>
    <row r="439" spans="1:9" x14ac:dyDescent="0.35">
      <c r="A439" t="s">
        <v>840</v>
      </c>
      <c r="B439" t="s">
        <v>16</v>
      </c>
      <c r="C439" t="s">
        <v>27</v>
      </c>
      <c r="E439">
        <v>138518.29</v>
      </c>
      <c r="G439" s="1">
        <v>45843</v>
      </c>
      <c r="H439" t="s">
        <v>28</v>
      </c>
      <c r="I439" t="s">
        <v>841</v>
      </c>
    </row>
    <row r="440" spans="1:9" x14ac:dyDescent="0.35">
      <c r="A440" t="s">
        <v>842</v>
      </c>
      <c r="B440" t="s">
        <v>85</v>
      </c>
      <c r="C440" t="s">
        <v>17</v>
      </c>
      <c r="D440">
        <v>71</v>
      </c>
      <c r="E440">
        <v>219965.28</v>
      </c>
      <c r="F440">
        <v>15617534.880000001</v>
      </c>
      <c r="G440" s="1">
        <v>45735</v>
      </c>
      <c r="H440" t="s">
        <v>9</v>
      </c>
      <c r="I440" t="s">
        <v>843</v>
      </c>
    </row>
    <row r="441" spans="1:9" x14ac:dyDescent="0.35">
      <c r="A441" t="s">
        <v>844</v>
      </c>
      <c r="B441" t="s">
        <v>79</v>
      </c>
      <c r="C441" t="s">
        <v>12</v>
      </c>
      <c r="D441">
        <v>79</v>
      </c>
      <c r="E441">
        <v>105976.76</v>
      </c>
      <c r="F441">
        <v>8372164.04</v>
      </c>
      <c r="G441" s="1">
        <v>45678</v>
      </c>
      <c r="H441" t="s">
        <v>9</v>
      </c>
      <c r="I441" t="s">
        <v>845</v>
      </c>
    </row>
    <row r="442" spans="1:9" x14ac:dyDescent="0.35">
      <c r="A442" t="s">
        <v>846</v>
      </c>
      <c r="B442" t="s">
        <v>16</v>
      </c>
      <c r="C442" t="s">
        <v>1063</v>
      </c>
      <c r="G442" s="1">
        <v>45330</v>
      </c>
      <c r="H442" t="s">
        <v>47</v>
      </c>
      <c r="I442" t="s">
        <v>847</v>
      </c>
    </row>
    <row r="443" spans="1:9" x14ac:dyDescent="0.35">
      <c r="A443" t="s">
        <v>848</v>
      </c>
      <c r="B443" t="s">
        <v>1084</v>
      </c>
      <c r="C443" t="s">
        <v>17</v>
      </c>
      <c r="E443">
        <v>42417.58</v>
      </c>
      <c r="G443" s="1">
        <v>45341</v>
      </c>
      <c r="H443" t="s">
        <v>28</v>
      </c>
      <c r="I443" t="s">
        <v>849</v>
      </c>
    </row>
    <row r="444" spans="1:9" x14ac:dyDescent="0.35">
      <c r="B444" t="s">
        <v>31</v>
      </c>
      <c r="C444" t="s">
        <v>23</v>
      </c>
      <c r="E444">
        <v>164190.63</v>
      </c>
      <c r="G444" s="1">
        <v>45212</v>
      </c>
      <c r="H444" t="s">
        <v>28</v>
      </c>
      <c r="I444" t="s">
        <v>850</v>
      </c>
    </row>
    <row r="445" spans="1:9" x14ac:dyDescent="0.35">
      <c r="A445" t="s">
        <v>851</v>
      </c>
      <c r="B445" t="s">
        <v>61</v>
      </c>
      <c r="C445" t="s">
        <v>17</v>
      </c>
      <c r="E445">
        <v>55622.31</v>
      </c>
      <c r="G445" s="1">
        <v>45563</v>
      </c>
      <c r="H445" t="s">
        <v>9</v>
      </c>
      <c r="I445" t="s">
        <v>852</v>
      </c>
    </row>
    <row r="446" spans="1:9" x14ac:dyDescent="0.35">
      <c r="A446" t="s">
        <v>853</v>
      </c>
      <c r="B446" t="s">
        <v>42</v>
      </c>
      <c r="C446" t="s">
        <v>23</v>
      </c>
      <c r="E446">
        <v>266864.68</v>
      </c>
      <c r="G446" s="1">
        <v>45643</v>
      </c>
      <c r="H446" t="s">
        <v>28</v>
      </c>
      <c r="I446" t="s">
        <v>854</v>
      </c>
    </row>
    <row r="447" spans="1:9" x14ac:dyDescent="0.35">
      <c r="A447" t="s">
        <v>855</v>
      </c>
      <c r="B447" t="s">
        <v>109</v>
      </c>
      <c r="C447" t="s">
        <v>90</v>
      </c>
      <c r="D447">
        <v>74</v>
      </c>
      <c r="E447">
        <v>297101.90000000002</v>
      </c>
      <c r="F447">
        <v>21985540.600000001</v>
      </c>
      <c r="G447" s="1">
        <v>45539</v>
      </c>
      <c r="H447" t="s">
        <v>47</v>
      </c>
      <c r="I447" t="s">
        <v>856</v>
      </c>
    </row>
    <row r="448" spans="1:9" x14ac:dyDescent="0.35">
      <c r="A448" t="s">
        <v>857</v>
      </c>
      <c r="B448" t="s">
        <v>89</v>
      </c>
      <c r="C448" t="s">
        <v>17</v>
      </c>
      <c r="E448">
        <v>287192.45</v>
      </c>
      <c r="G448" s="1">
        <v>45412</v>
      </c>
      <c r="H448" t="s">
        <v>47</v>
      </c>
      <c r="I448" t="s">
        <v>858</v>
      </c>
    </row>
    <row r="449" spans="1:9" x14ac:dyDescent="0.35">
      <c r="A449" t="s">
        <v>859</v>
      </c>
      <c r="B449" t="s">
        <v>42</v>
      </c>
      <c r="C449" t="s">
        <v>23</v>
      </c>
      <c r="D449">
        <v>83</v>
      </c>
      <c r="E449">
        <v>157421.35</v>
      </c>
      <c r="F449">
        <v>13065972.050000001</v>
      </c>
      <c r="G449" s="1">
        <v>45813</v>
      </c>
      <c r="H449" t="s">
        <v>13</v>
      </c>
      <c r="I449" t="s">
        <v>860</v>
      </c>
    </row>
    <row r="450" spans="1:9" x14ac:dyDescent="0.35">
      <c r="A450" t="s">
        <v>861</v>
      </c>
      <c r="B450" t="s">
        <v>61</v>
      </c>
      <c r="C450" t="s">
        <v>1078</v>
      </c>
      <c r="E450">
        <v>251801.01</v>
      </c>
      <c r="G450" s="1">
        <v>45424</v>
      </c>
      <c r="H450" t="s">
        <v>47</v>
      </c>
    </row>
    <row r="451" spans="1:9" x14ac:dyDescent="0.35">
      <c r="A451" t="s">
        <v>862</v>
      </c>
      <c r="B451" t="s">
        <v>58</v>
      </c>
      <c r="C451" t="s">
        <v>46</v>
      </c>
      <c r="E451">
        <v>22761.96</v>
      </c>
      <c r="G451" s="1">
        <v>45753</v>
      </c>
      <c r="H451" t="s">
        <v>13</v>
      </c>
      <c r="I451" t="s">
        <v>863</v>
      </c>
    </row>
    <row r="452" spans="1:9" x14ac:dyDescent="0.35">
      <c r="A452" t="s">
        <v>864</v>
      </c>
      <c r="B452" t="s">
        <v>1061</v>
      </c>
      <c r="C452" t="s">
        <v>17</v>
      </c>
      <c r="D452">
        <v>45</v>
      </c>
      <c r="G452" s="1">
        <v>45386</v>
      </c>
      <c r="H452" t="s">
        <v>9</v>
      </c>
      <c r="I452" t="s">
        <v>865</v>
      </c>
    </row>
    <row r="453" spans="1:9" x14ac:dyDescent="0.35">
      <c r="A453" t="s">
        <v>866</v>
      </c>
      <c r="B453" t="s">
        <v>105</v>
      </c>
      <c r="C453" t="s">
        <v>55</v>
      </c>
      <c r="E453">
        <v>245489.78</v>
      </c>
      <c r="G453" s="1">
        <v>45718</v>
      </c>
      <c r="H453" t="s">
        <v>13</v>
      </c>
      <c r="I453" t="s">
        <v>867</v>
      </c>
    </row>
    <row r="454" spans="1:9" x14ac:dyDescent="0.35">
      <c r="A454" t="s">
        <v>868</v>
      </c>
      <c r="B454" t="s">
        <v>79</v>
      </c>
      <c r="C454" t="s">
        <v>23</v>
      </c>
      <c r="E454">
        <v>15030.06</v>
      </c>
      <c r="G454" s="1">
        <v>45742</v>
      </c>
      <c r="H454" t="s">
        <v>13</v>
      </c>
      <c r="I454" t="s">
        <v>869</v>
      </c>
    </row>
    <row r="455" spans="1:9" x14ac:dyDescent="0.35">
      <c r="A455" t="s">
        <v>870</v>
      </c>
      <c r="B455" t="s">
        <v>53</v>
      </c>
      <c r="C455" t="s">
        <v>70</v>
      </c>
      <c r="D455">
        <v>24</v>
      </c>
      <c r="E455">
        <v>2411.96</v>
      </c>
      <c r="F455">
        <v>57887.040000000001</v>
      </c>
      <c r="G455" s="1">
        <v>45231</v>
      </c>
      <c r="H455" t="s">
        <v>9</v>
      </c>
      <c r="I455" t="s">
        <v>871</v>
      </c>
    </row>
    <row r="456" spans="1:9" x14ac:dyDescent="0.35">
      <c r="A456" t="s">
        <v>872</v>
      </c>
      <c r="B456" t="s">
        <v>16</v>
      </c>
      <c r="C456" t="s">
        <v>23</v>
      </c>
      <c r="E456">
        <v>41678.71</v>
      </c>
      <c r="G456" s="1">
        <v>45343</v>
      </c>
      <c r="H456" t="s">
        <v>13</v>
      </c>
      <c r="I456" t="s">
        <v>873</v>
      </c>
    </row>
    <row r="457" spans="1:9" x14ac:dyDescent="0.35">
      <c r="B457" t="s">
        <v>45</v>
      </c>
      <c r="C457" t="s">
        <v>17</v>
      </c>
      <c r="D457">
        <v>8</v>
      </c>
      <c r="E457">
        <v>189395.14</v>
      </c>
      <c r="F457">
        <v>1515161.12</v>
      </c>
      <c r="G457" s="1">
        <v>45150</v>
      </c>
      <c r="H457" t="s">
        <v>47</v>
      </c>
      <c r="I457" t="s">
        <v>874</v>
      </c>
    </row>
    <row r="458" spans="1:9" x14ac:dyDescent="0.35">
      <c r="A458" t="s">
        <v>875</v>
      </c>
      <c r="B458" t="s">
        <v>42</v>
      </c>
      <c r="C458" t="s">
        <v>1075</v>
      </c>
      <c r="D458">
        <v>67</v>
      </c>
      <c r="E458">
        <v>20856.400000000001</v>
      </c>
      <c r="F458">
        <v>1397378.8</v>
      </c>
      <c r="G458" s="1">
        <v>45341</v>
      </c>
      <c r="H458" t="s">
        <v>9</v>
      </c>
      <c r="I458" t="s">
        <v>876</v>
      </c>
    </row>
    <row r="459" spans="1:9" x14ac:dyDescent="0.35">
      <c r="A459" t="s">
        <v>877</v>
      </c>
      <c r="B459" t="s">
        <v>11</v>
      </c>
      <c r="C459" t="s">
        <v>27</v>
      </c>
      <c r="D459">
        <v>39</v>
      </c>
      <c r="E459">
        <v>45733.38</v>
      </c>
      <c r="F459">
        <v>1783601.82</v>
      </c>
      <c r="G459" s="1">
        <v>45672</v>
      </c>
      <c r="H459" t="s">
        <v>28</v>
      </c>
      <c r="I459" t="s">
        <v>878</v>
      </c>
    </row>
    <row r="460" spans="1:9" x14ac:dyDescent="0.35">
      <c r="A460" t="s">
        <v>879</v>
      </c>
      <c r="B460" t="s">
        <v>58</v>
      </c>
      <c r="C460" t="s">
        <v>70</v>
      </c>
      <c r="E460">
        <v>66006.539999999994</v>
      </c>
      <c r="G460" s="1">
        <v>45179</v>
      </c>
      <c r="H460" t="s">
        <v>13</v>
      </c>
      <c r="I460" t="s">
        <v>880</v>
      </c>
    </row>
    <row r="461" spans="1:9" x14ac:dyDescent="0.35">
      <c r="A461" t="s">
        <v>881</v>
      </c>
      <c r="B461" t="s">
        <v>1071</v>
      </c>
      <c r="C461" t="s">
        <v>17</v>
      </c>
      <c r="D461">
        <v>91</v>
      </c>
      <c r="E461">
        <v>137074.89000000001</v>
      </c>
      <c r="F461">
        <v>12473814.99</v>
      </c>
      <c r="G461" s="1">
        <v>45387</v>
      </c>
      <c r="H461" t="s">
        <v>47</v>
      </c>
      <c r="I461" t="s">
        <v>882</v>
      </c>
    </row>
    <row r="462" spans="1:9" x14ac:dyDescent="0.35">
      <c r="A462" t="s">
        <v>883</v>
      </c>
      <c r="B462" t="s">
        <v>53</v>
      </c>
      <c r="C462" t="s">
        <v>46</v>
      </c>
      <c r="G462" s="1">
        <v>45835</v>
      </c>
      <c r="H462" t="s">
        <v>28</v>
      </c>
      <c r="I462" t="s">
        <v>884</v>
      </c>
    </row>
    <row r="463" spans="1:9" x14ac:dyDescent="0.35">
      <c r="A463" t="s">
        <v>885</v>
      </c>
      <c r="B463" t="s">
        <v>109</v>
      </c>
      <c r="C463" t="s">
        <v>27</v>
      </c>
      <c r="D463">
        <v>37</v>
      </c>
      <c r="E463">
        <v>18604.810000000001</v>
      </c>
      <c r="F463">
        <v>688377.97</v>
      </c>
      <c r="G463" s="1">
        <v>45461</v>
      </c>
      <c r="H463" t="s">
        <v>9</v>
      </c>
      <c r="I463" t="s">
        <v>886</v>
      </c>
    </row>
    <row r="464" spans="1:9" x14ac:dyDescent="0.35">
      <c r="A464" t="s">
        <v>887</v>
      </c>
      <c r="B464" t="s">
        <v>42</v>
      </c>
      <c r="C464" t="s">
        <v>70</v>
      </c>
      <c r="D464">
        <v>33</v>
      </c>
      <c r="E464">
        <v>191499.71</v>
      </c>
      <c r="F464">
        <v>6319490.4299999997</v>
      </c>
      <c r="G464" s="1">
        <v>45627</v>
      </c>
      <c r="H464" t="s">
        <v>9</v>
      </c>
    </row>
    <row r="465" spans="1:9" x14ac:dyDescent="0.35">
      <c r="A465" t="s">
        <v>888</v>
      </c>
      <c r="B465" t="s">
        <v>37</v>
      </c>
      <c r="C465" t="s">
        <v>55</v>
      </c>
      <c r="E465">
        <v>280204.15999999997</v>
      </c>
      <c r="G465" s="1">
        <v>45317</v>
      </c>
      <c r="H465" t="s">
        <v>9</v>
      </c>
      <c r="I465" t="s">
        <v>889</v>
      </c>
    </row>
    <row r="466" spans="1:9" x14ac:dyDescent="0.35">
      <c r="A466" t="s">
        <v>890</v>
      </c>
      <c r="B466" t="s">
        <v>89</v>
      </c>
      <c r="C466" t="s">
        <v>1075</v>
      </c>
      <c r="D466">
        <v>36</v>
      </c>
      <c r="E466">
        <v>273869.06</v>
      </c>
      <c r="F466">
        <v>9859286.1600000001</v>
      </c>
      <c r="G466" s="1">
        <v>45698</v>
      </c>
      <c r="H466" t="s">
        <v>47</v>
      </c>
      <c r="I466" t="s">
        <v>891</v>
      </c>
    </row>
    <row r="467" spans="1:9" x14ac:dyDescent="0.35">
      <c r="A467" t="s">
        <v>892</v>
      </c>
      <c r="B467" t="s">
        <v>61</v>
      </c>
      <c r="C467" t="s">
        <v>23</v>
      </c>
      <c r="E467">
        <v>197955.66</v>
      </c>
      <c r="G467" s="1">
        <v>45490</v>
      </c>
      <c r="H467" t="s">
        <v>28</v>
      </c>
      <c r="I467" t="s">
        <v>893</v>
      </c>
    </row>
    <row r="468" spans="1:9" x14ac:dyDescent="0.35">
      <c r="A468" t="s">
        <v>894</v>
      </c>
      <c r="B468" t="s">
        <v>89</v>
      </c>
      <c r="C468" t="s">
        <v>90</v>
      </c>
      <c r="E468">
        <v>5211.66</v>
      </c>
      <c r="G468" s="1">
        <v>45284</v>
      </c>
      <c r="H468" t="s">
        <v>9</v>
      </c>
      <c r="I468" t="s">
        <v>895</v>
      </c>
    </row>
    <row r="469" spans="1:9" x14ac:dyDescent="0.35">
      <c r="A469" t="s">
        <v>896</v>
      </c>
      <c r="B469" t="s">
        <v>31</v>
      </c>
      <c r="C469" t="s">
        <v>70</v>
      </c>
      <c r="E469">
        <v>159897.64000000001</v>
      </c>
      <c r="G469" s="1">
        <v>45274</v>
      </c>
      <c r="H469" t="s">
        <v>47</v>
      </c>
      <c r="I469" t="s">
        <v>897</v>
      </c>
    </row>
    <row r="470" spans="1:9" x14ac:dyDescent="0.35">
      <c r="B470" t="s">
        <v>1083</v>
      </c>
      <c r="C470" t="s">
        <v>23</v>
      </c>
      <c r="D470">
        <v>83</v>
      </c>
      <c r="E470">
        <v>123695.88</v>
      </c>
      <c r="F470">
        <v>10266758.039999999</v>
      </c>
      <c r="G470" s="1">
        <v>45761</v>
      </c>
      <c r="I470" t="s">
        <v>898</v>
      </c>
    </row>
    <row r="471" spans="1:9" x14ac:dyDescent="0.35">
      <c r="A471" t="s">
        <v>899</v>
      </c>
      <c r="B471" t="s">
        <v>58</v>
      </c>
      <c r="C471" t="s">
        <v>90</v>
      </c>
      <c r="E471">
        <v>5509.48</v>
      </c>
      <c r="G471" s="1">
        <v>45536</v>
      </c>
      <c r="H471" t="s">
        <v>47</v>
      </c>
      <c r="I471" t="s">
        <v>900</v>
      </c>
    </row>
    <row r="472" spans="1:9" x14ac:dyDescent="0.35">
      <c r="A472" t="s">
        <v>901</v>
      </c>
      <c r="B472" t="s">
        <v>131</v>
      </c>
      <c r="C472" t="s">
        <v>90</v>
      </c>
      <c r="D472">
        <v>20</v>
      </c>
      <c r="G472" s="1">
        <v>45328</v>
      </c>
      <c r="I472" t="s">
        <v>902</v>
      </c>
    </row>
    <row r="473" spans="1:9" x14ac:dyDescent="0.35">
      <c r="A473" t="s">
        <v>903</v>
      </c>
      <c r="B473" t="s">
        <v>42</v>
      </c>
      <c r="C473" t="s">
        <v>17</v>
      </c>
      <c r="E473">
        <v>216796.72</v>
      </c>
      <c r="G473" s="1">
        <v>45842</v>
      </c>
      <c r="H473" t="s">
        <v>28</v>
      </c>
      <c r="I473" t="s">
        <v>904</v>
      </c>
    </row>
    <row r="474" spans="1:9" x14ac:dyDescent="0.35">
      <c r="A474" t="s">
        <v>905</v>
      </c>
      <c r="B474" t="s">
        <v>89</v>
      </c>
      <c r="C474" t="s">
        <v>1075</v>
      </c>
      <c r="E474">
        <v>160953.56</v>
      </c>
      <c r="G474" s="1">
        <v>45554</v>
      </c>
      <c r="H474" t="s">
        <v>9</v>
      </c>
      <c r="I474" t="s">
        <v>906</v>
      </c>
    </row>
    <row r="475" spans="1:9" x14ac:dyDescent="0.35">
      <c r="A475" t="s">
        <v>907</v>
      </c>
      <c r="B475" t="s">
        <v>105</v>
      </c>
      <c r="C475" t="s">
        <v>27</v>
      </c>
      <c r="E475">
        <v>86363.22</v>
      </c>
      <c r="G475" s="1">
        <v>45658</v>
      </c>
      <c r="H475" t="s">
        <v>9</v>
      </c>
      <c r="I475" t="s">
        <v>908</v>
      </c>
    </row>
    <row r="476" spans="1:9" x14ac:dyDescent="0.35">
      <c r="A476" t="s">
        <v>909</v>
      </c>
      <c r="B476" t="s">
        <v>131</v>
      </c>
      <c r="C476" t="s">
        <v>55</v>
      </c>
      <c r="D476">
        <v>6</v>
      </c>
      <c r="E476">
        <v>150913.70000000001</v>
      </c>
      <c r="F476">
        <v>905482.2</v>
      </c>
      <c r="G476" s="1">
        <v>45328</v>
      </c>
      <c r="H476" t="s">
        <v>13</v>
      </c>
      <c r="I476" t="s">
        <v>910</v>
      </c>
    </row>
    <row r="477" spans="1:9" x14ac:dyDescent="0.35">
      <c r="A477" t="s">
        <v>911</v>
      </c>
      <c r="B477" t="s">
        <v>34</v>
      </c>
      <c r="C477" t="s">
        <v>27</v>
      </c>
      <c r="D477">
        <v>11</v>
      </c>
      <c r="E477">
        <v>209508.79</v>
      </c>
      <c r="F477">
        <v>2304596.69</v>
      </c>
      <c r="G477" s="1">
        <v>45224</v>
      </c>
      <c r="H477" t="s">
        <v>9</v>
      </c>
      <c r="I477" t="s">
        <v>912</v>
      </c>
    </row>
    <row r="478" spans="1:9" x14ac:dyDescent="0.35">
      <c r="A478" t="s">
        <v>913</v>
      </c>
      <c r="B478" t="s">
        <v>26</v>
      </c>
      <c r="C478" t="s">
        <v>27</v>
      </c>
      <c r="E478">
        <v>129456.68</v>
      </c>
      <c r="G478" s="1">
        <v>45202</v>
      </c>
      <c r="H478" t="s">
        <v>28</v>
      </c>
    </row>
    <row r="479" spans="1:9" x14ac:dyDescent="0.35">
      <c r="A479" t="s">
        <v>914</v>
      </c>
      <c r="B479" t="s">
        <v>1073</v>
      </c>
      <c r="C479" t="s">
        <v>23</v>
      </c>
      <c r="E479">
        <v>281943.71999999997</v>
      </c>
      <c r="G479" s="1">
        <v>45596</v>
      </c>
      <c r="H479" t="s">
        <v>47</v>
      </c>
      <c r="I479" t="s">
        <v>915</v>
      </c>
    </row>
    <row r="480" spans="1:9" x14ac:dyDescent="0.35">
      <c r="A480" t="s">
        <v>916</v>
      </c>
      <c r="B480" t="s">
        <v>42</v>
      </c>
      <c r="C480" t="s">
        <v>12</v>
      </c>
      <c r="E480">
        <v>54190.42</v>
      </c>
      <c r="G480" s="1">
        <v>45693</v>
      </c>
      <c r="H480" t="s">
        <v>28</v>
      </c>
      <c r="I480" s="2" t="s">
        <v>917</v>
      </c>
    </row>
    <row r="481" spans="1:9" x14ac:dyDescent="0.35">
      <c r="A481" t="s">
        <v>918</v>
      </c>
      <c r="B481" t="s">
        <v>105</v>
      </c>
      <c r="C481" t="s">
        <v>46</v>
      </c>
      <c r="E481">
        <v>275455.63</v>
      </c>
      <c r="G481" s="1">
        <v>45573</v>
      </c>
      <c r="H481" t="s">
        <v>9</v>
      </c>
      <c r="I481" t="s">
        <v>919</v>
      </c>
    </row>
    <row r="482" spans="1:9" x14ac:dyDescent="0.35">
      <c r="A482" t="s">
        <v>920</v>
      </c>
      <c r="B482" t="s">
        <v>85</v>
      </c>
      <c r="C482" t="s">
        <v>1072</v>
      </c>
      <c r="D482">
        <v>82</v>
      </c>
      <c r="G482" s="1">
        <v>45303</v>
      </c>
      <c r="H482" t="s">
        <v>47</v>
      </c>
      <c r="I482" t="s">
        <v>921</v>
      </c>
    </row>
    <row r="483" spans="1:9" x14ac:dyDescent="0.35">
      <c r="B483" t="s">
        <v>61</v>
      </c>
      <c r="C483" t="s">
        <v>23</v>
      </c>
      <c r="E483">
        <v>157553.43</v>
      </c>
      <c r="G483" s="1">
        <v>45306</v>
      </c>
      <c r="H483" t="s">
        <v>28</v>
      </c>
      <c r="I483" t="s">
        <v>922</v>
      </c>
    </row>
    <row r="484" spans="1:9" x14ac:dyDescent="0.35">
      <c r="A484" t="s">
        <v>923</v>
      </c>
      <c r="B484" t="s">
        <v>79</v>
      </c>
      <c r="C484" t="s">
        <v>17</v>
      </c>
      <c r="E484">
        <v>72670.17</v>
      </c>
      <c r="G484" s="1">
        <v>45157</v>
      </c>
      <c r="H484" t="s">
        <v>9</v>
      </c>
      <c r="I484" t="s">
        <v>924</v>
      </c>
    </row>
    <row r="485" spans="1:9" x14ac:dyDescent="0.35">
      <c r="A485" t="s">
        <v>925</v>
      </c>
      <c r="B485" t="s">
        <v>131</v>
      </c>
      <c r="C485" t="s">
        <v>90</v>
      </c>
      <c r="E485">
        <v>186124.36</v>
      </c>
      <c r="G485" s="1">
        <v>45638</v>
      </c>
      <c r="H485" t="s">
        <v>9</v>
      </c>
      <c r="I485" t="s">
        <v>926</v>
      </c>
    </row>
    <row r="486" spans="1:9" x14ac:dyDescent="0.35">
      <c r="A486" t="s">
        <v>927</v>
      </c>
      <c r="B486" t="s">
        <v>105</v>
      </c>
      <c r="C486" t="s">
        <v>55</v>
      </c>
      <c r="D486">
        <v>62</v>
      </c>
      <c r="E486">
        <v>76099.25</v>
      </c>
      <c r="F486">
        <v>4718153.5</v>
      </c>
      <c r="G486" s="1">
        <v>45821</v>
      </c>
      <c r="H486" t="s">
        <v>9</v>
      </c>
      <c r="I486" t="s">
        <v>928</v>
      </c>
    </row>
    <row r="487" spans="1:9" x14ac:dyDescent="0.35">
      <c r="A487" t="s">
        <v>929</v>
      </c>
      <c r="B487" t="s">
        <v>34</v>
      </c>
      <c r="C487" t="s">
        <v>12</v>
      </c>
      <c r="E487">
        <v>106655.11</v>
      </c>
      <c r="G487" s="1">
        <v>45530</v>
      </c>
      <c r="H487" t="s">
        <v>13</v>
      </c>
      <c r="I487" t="s">
        <v>930</v>
      </c>
    </row>
    <row r="488" spans="1:9" x14ac:dyDescent="0.35">
      <c r="A488" t="s">
        <v>931</v>
      </c>
      <c r="B488" t="s">
        <v>1066</v>
      </c>
      <c r="C488" t="s">
        <v>46</v>
      </c>
      <c r="E488">
        <v>238583.43</v>
      </c>
      <c r="G488" s="1">
        <v>45293</v>
      </c>
      <c r="H488" t="s">
        <v>13</v>
      </c>
      <c r="I488" t="s">
        <v>932</v>
      </c>
    </row>
    <row r="489" spans="1:9" x14ac:dyDescent="0.35">
      <c r="A489" t="s">
        <v>933</v>
      </c>
      <c r="B489" t="s">
        <v>131</v>
      </c>
      <c r="C489" t="s">
        <v>23</v>
      </c>
      <c r="E489">
        <v>24166.26</v>
      </c>
      <c r="G489" s="1">
        <v>45613</v>
      </c>
      <c r="H489" t="s">
        <v>13</v>
      </c>
      <c r="I489" s="2" t="s">
        <v>934</v>
      </c>
    </row>
    <row r="490" spans="1:9" x14ac:dyDescent="0.35">
      <c r="A490" t="s">
        <v>935</v>
      </c>
      <c r="B490" t="s">
        <v>131</v>
      </c>
      <c r="C490" t="s">
        <v>1065</v>
      </c>
      <c r="D490">
        <v>8</v>
      </c>
      <c r="E490">
        <v>287809.69</v>
      </c>
      <c r="F490">
        <v>2302477.52</v>
      </c>
      <c r="G490" s="1">
        <v>45298</v>
      </c>
      <c r="H490" t="s">
        <v>47</v>
      </c>
      <c r="I490" t="s">
        <v>936</v>
      </c>
    </row>
    <row r="491" spans="1:9" x14ac:dyDescent="0.35">
      <c r="A491" t="s">
        <v>937</v>
      </c>
      <c r="B491" t="s">
        <v>53</v>
      </c>
      <c r="C491" t="s">
        <v>70</v>
      </c>
      <c r="E491">
        <v>137969.82</v>
      </c>
      <c r="G491" s="1">
        <v>45158</v>
      </c>
      <c r="H491" t="s">
        <v>28</v>
      </c>
      <c r="I491" t="s">
        <v>938</v>
      </c>
    </row>
    <row r="492" spans="1:9" x14ac:dyDescent="0.35">
      <c r="A492" t="s">
        <v>939</v>
      </c>
      <c r="B492" t="s">
        <v>42</v>
      </c>
      <c r="C492" t="s">
        <v>12</v>
      </c>
      <c r="G492" s="1">
        <v>45195</v>
      </c>
      <c r="H492" t="s">
        <v>47</v>
      </c>
    </row>
    <row r="493" spans="1:9" x14ac:dyDescent="0.35">
      <c r="A493" t="s">
        <v>940</v>
      </c>
      <c r="B493" t="s">
        <v>79</v>
      </c>
      <c r="C493" t="s">
        <v>27</v>
      </c>
      <c r="E493">
        <v>73340.759999999995</v>
      </c>
      <c r="G493" s="1">
        <v>45439</v>
      </c>
      <c r="H493" t="s">
        <v>47</v>
      </c>
      <c r="I493" t="s">
        <v>941</v>
      </c>
    </row>
    <row r="494" spans="1:9" x14ac:dyDescent="0.35">
      <c r="A494" t="s">
        <v>942</v>
      </c>
      <c r="B494" t="s">
        <v>61</v>
      </c>
      <c r="C494" t="s">
        <v>12</v>
      </c>
      <c r="D494">
        <v>78</v>
      </c>
      <c r="E494">
        <v>209322.28</v>
      </c>
      <c r="F494">
        <v>16327137.84</v>
      </c>
      <c r="G494" s="1">
        <v>45374</v>
      </c>
      <c r="H494" t="s">
        <v>9</v>
      </c>
      <c r="I494" t="s">
        <v>943</v>
      </c>
    </row>
    <row r="495" spans="1:9" x14ac:dyDescent="0.35">
      <c r="A495" t="s">
        <v>944</v>
      </c>
      <c r="B495" t="s">
        <v>89</v>
      </c>
      <c r="C495" t="s">
        <v>55</v>
      </c>
      <c r="E495">
        <v>90342.399999999994</v>
      </c>
      <c r="G495" s="1">
        <v>45675</v>
      </c>
      <c r="I495" t="s">
        <v>945</v>
      </c>
    </row>
    <row r="496" spans="1:9" x14ac:dyDescent="0.35">
      <c r="B496" t="s">
        <v>76</v>
      </c>
      <c r="C496" t="s">
        <v>23</v>
      </c>
      <c r="E496">
        <v>248504.59</v>
      </c>
      <c r="G496" s="1">
        <v>45484</v>
      </c>
      <c r="I496" t="s">
        <v>946</v>
      </c>
    </row>
    <row r="497" spans="1:9" x14ac:dyDescent="0.35">
      <c r="A497" t="s">
        <v>947</v>
      </c>
      <c r="B497" t="s">
        <v>1090</v>
      </c>
      <c r="C497" t="s">
        <v>12</v>
      </c>
      <c r="E497">
        <v>24644.77</v>
      </c>
      <c r="G497" s="1">
        <v>45196</v>
      </c>
      <c r="H497" t="s">
        <v>9</v>
      </c>
      <c r="I497" t="s">
        <v>948</v>
      </c>
    </row>
    <row r="498" spans="1:9" x14ac:dyDescent="0.35">
      <c r="A498" t="s">
        <v>949</v>
      </c>
      <c r="B498" t="s">
        <v>76</v>
      </c>
      <c r="C498" t="s">
        <v>1075</v>
      </c>
      <c r="E498">
        <v>297506.57</v>
      </c>
      <c r="G498" s="1">
        <v>45647</v>
      </c>
      <c r="I498" t="s">
        <v>950</v>
      </c>
    </row>
    <row r="499" spans="1:9" x14ac:dyDescent="0.35">
      <c r="A499" t="s">
        <v>951</v>
      </c>
      <c r="B499" t="s">
        <v>53</v>
      </c>
      <c r="C499" t="s">
        <v>17</v>
      </c>
      <c r="E499">
        <v>195143.39</v>
      </c>
      <c r="G499" s="1">
        <v>45716</v>
      </c>
      <c r="H499" t="s">
        <v>47</v>
      </c>
      <c r="I499" t="s">
        <v>952</v>
      </c>
    </row>
    <row r="500" spans="1:9" x14ac:dyDescent="0.35">
      <c r="A500" t="s">
        <v>953</v>
      </c>
      <c r="B500" t="s">
        <v>58</v>
      </c>
      <c r="C500" t="s">
        <v>23</v>
      </c>
      <c r="E500">
        <v>9989.51</v>
      </c>
      <c r="G500" s="1">
        <v>45224</v>
      </c>
      <c r="H500" t="s">
        <v>28</v>
      </c>
      <c r="I500" t="s">
        <v>954</v>
      </c>
    </row>
    <row r="501" spans="1:9" x14ac:dyDescent="0.35">
      <c r="A501" t="s">
        <v>955</v>
      </c>
      <c r="B501" t="s">
        <v>213</v>
      </c>
      <c r="C501" t="s">
        <v>55</v>
      </c>
      <c r="E501">
        <v>121880.85</v>
      </c>
      <c r="G501" s="1">
        <v>45122</v>
      </c>
      <c r="H501" t="s">
        <v>13</v>
      </c>
      <c r="I501" t="s">
        <v>956</v>
      </c>
    </row>
    <row r="502" spans="1:9" x14ac:dyDescent="0.35">
      <c r="A502" t="s">
        <v>957</v>
      </c>
      <c r="B502" t="s">
        <v>85</v>
      </c>
      <c r="C502" t="s">
        <v>46</v>
      </c>
      <c r="G502" s="1">
        <v>45545</v>
      </c>
      <c r="H502" t="s">
        <v>47</v>
      </c>
      <c r="I502" t="s">
        <v>958</v>
      </c>
    </row>
    <row r="503" spans="1:9" x14ac:dyDescent="0.35">
      <c r="A503" t="s">
        <v>959</v>
      </c>
      <c r="B503" t="s">
        <v>37</v>
      </c>
      <c r="C503" t="s">
        <v>17</v>
      </c>
      <c r="D503">
        <v>58</v>
      </c>
      <c r="E503">
        <v>113462.29</v>
      </c>
      <c r="F503">
        <v>6580812.8200000003</v>
      </c>
      <c r="G503" s="1">
        <v>45839</v>
      </c>
      <c r="H503" t="s">
        <v>47</v>
      </c>
      <c r="I503" t="s">
        <v>960</v>
      </c>
    </row>
    <row r="504" spans="1:9" x14ac:dyDescent="0.35">
      <c r="A504" t="s">
        <v>961</v>
      </c>
      <c r="B504" t="s">
        <v>131</v>
      </c>
      <c r="C504" t="s">
        <v>46</v>
      </c>
      <c r="D504">
        <v>19</v>
      </c>
      <c r="E504">
        <v>143063.53</v>
      </c>
      <c r="F504">
        <v>2718207.07</v>
      </c>
      <c r="G504" s="1">
        <v>45240</v>
      </c>
      <c r="H504" t="s">
        <v>28</v>
      </c>
      <c r="I504" t="s">
        <v>962</v>
      </c>
    </row>
    <row r="505" spans="1:9" x14ac:dyDescent="0.35">
      <c r="A505" t="s">
        <v>963</v>
      </c>
      <c r="B505" t="s">
        <v>58</v>
      </c>
      <c r="C505" t="s">
        <v>12</v>
      </c>
      <c r="E505">
        <v>191206.05</v>
      </c>
      <c r="G505" s="1">
        <v>45434</v>
      </c>
      <c r="I505" t="s">
        <v>964</v>
      </c>
    </row>
    <row r="506" spans="1:9" x14ac:dyDescent="0.35">
      <c r="A506" t="s">
        <v>965</v>
      </c>
      <c r="B506" t="s">
        <v>1076</v>
      </c>
      <c r="C506" t="s">
        <v>1063</v>
      </c>
      <c r="E506">
        <v>211002.12</v>
      </c>
      <c r="G506" s="1">
        <v>45625</v>
      </c>
      <c r="H506" t="s">
        <v>28</v>
      </c>
    </row>
    <row r="507" spans="1:9" x14ac:dyDescent="0.35">
      <c r="A507" t="s">
        <v>966</v>
      </c>
      <c r="B507" t="s">
        <v>89</v>
      </c>
      <c r="C507" t="s">
        <v>70</v>
      </c>
      <c r="D507">
        <v>54</v>
      </c>
      <c r="E507">
        <v>25264.49</v>
      </c>
      <c r="F507">
        <v>1364282.46</v>
      </c>
      <c r="G507" s="1">
        <v>45844</v>
      </c>
      <c r="H507" t="s">
        <v>47</v>
      </c>
      <c r="I507" t="s">
        <v>967</v>
      </c>
    </row>
    <row r="508" spans="1:9" x14ac:dyDescent="0.35">
      <c r="A508" t="s">
        <v>968</v>
      </c>
      <c r="B508" t="s">
        <v>37</v>
      </c>
      <c r="C508" t="s">
        <v>55</v>
      </c>
      <c r="E508">
        <v>253676.27</v>
      </c>
      <c r="G508" s="1">
        <v>45802</v>
      </c>
      <c r="H508" t="s">
        <v>9</v>
      </c>
      <c r="I508" t="s">
        <v>969</v>
      </c>
    </row>
    <row r="509" spans="1:9" x14ac:dyDescent="0.35">
      <c r="B509" t="s">
        <v>20</v>
      </c>
      <c r="C509" t="s">
        <v>46</v>
      </c>
      <c r="E509">
        <v>193649.72</v>
      </c>
      <c r="G509" s="1">
        <v>45800</v>
      </c>
      <c r="H509" t="s">
        <v>9</v>
      </c>
      <c r="I509" t="s">
        <v>970</v>
      </c>
    </row>
    <row r="510" spans="1:9" x14ac:dyDescent="0.35">
      <c r="A510" t="s">
        <v>971</v>
      </c>
      <c r="B510" t="s">
        <v>131</v>
      </c>
      <c r="C510" t="s">
        <v>70</v>
      </c>
      <c r="D510">
        <v>41</v>
      </c>
      <c r="E510">
        <v>99715.55</v>
      </c>
      <c r="F510">
        <v>4088337.55</v>
      </c>
      <c r="G510" s="1">
        <v>45487</v>
      </c>
      <c r="H510" t="s">
        <v>47</v>
      </c>
      <c r="I510" t="s">
        <v>972</v>
      </c>
    </row>
    <row r="511" spans="1:9" x14ac:dyDescent="0.35">
      <c r="A511" t="s">
        <v>973</v>
      </c>
      <c r="B511" t="s">
        <v>20</v>
      </c>
      <c r="C511" t="s">
        <v>90</v>
      </c>
      <c r="D511">
        <v>98</v>
      </c>
      <c r="E511">
        <v>293210.09999999998</v>
      </c>
      <c r="F511">
        <v>28734589.800000001</v>
      </c>
      <c r="G511" s="1">
        <v>45488</v>
      </c>
      <c r="H511" t="s">
        <v>9</v>
      </c>
      <c r="I511" t="s">
        <v>974</v>
      </c>
    </row>
    <row r="512" spans="1:9" x14ac:dyDescent="0.35">
      <c r="A512" t="s">
        <v>975</v>
      </c>
      <c r="B512" t="s">
        <v>53</v>
      </c>
      <c r="C512" t="s">
        <v>23</v>
      </c>
      <c r="G512" s="1">
        <v>45623</v>
      </c>
      <c r="I512" t="s">
        <v>976</v>
      </c>
    </row>
    <row r="513" spans="1:9" x14ac:dyDescent="0.35">
      <c r="A513" t="s">
        <v>977</v>
      </c>
      <c r="B513" t="s">
        <v>26</v>
      </c>
      <c r="C513" t="s">
        <v>46</v>
      </c>
      <c r="E513">
        <v>292165</v>
      </c>
      <c r="G513" s="1">
        <v>45272</v>
      </c>
      <c r="H513" t="s">
        <v>28</v>
      </c>
      <c r="I513" t="s">
        <v>978</v>
      </c>
    </row>
    <row r="514" spans="1:9" x14ac:dyDescent="0.35">
      <c r="A514" t="s">
        <v>979</v>
      </c>
      <c r="B514" t="s">
        <v>11</v>
      </c>
      <c r="C514" t="s">
        <v>1062</v>
      </c>
      <c r="E514">
        <v>268489.96999999997</v>
      </c>
      <c r="G514" s="1">
        <v>45705</v>
      </c>
      <c r="H514" t="s">
        <v>13</v>
      </c>
      <c r="I514" t="s">
        <v>980</v>
      </c>
    </row>
    <row r="515" spans="1:9" x14ac:dyDescent="0.35">
      <c r="A515" t="s">
        <v>981</v>
      </c>
      <c r="B515" t="s">
        <v>1084</v>
      </c>
      <c r="C515" t="s">
        <v>55</v>
      </c>
      <c r="D515">
        <v>3</v>
      </c>
      <c r="E515">
        <v>275786.09000000003</v>
      </c>
      <c r="F515">
        <v>827358.27</v>
      </c>
      <c r="G515" s="1">
        <v>45341</v>
      </c>
      <c r="H515" t="s">
        <v>28</v>
      </c>
      <c r="I515" t="s">
        <v>982</v>
      </c>
    </row>
    <row r="516" spans="1:9" x14ac:dyDescent="0.35">
      <c r="A516" t="s">
        <v>983</v>
      </c>
      <c r="B516" t="s">
        <v>20</v>
      </c>
      <c r="C516" t="s">
        <v>23</v>
      </c>
      <c r="E516">
        <v>69315.070000000007</v>
      </c>
      <c r="G516" s="1">
        <v>45367</v>
      </c>
      <c r="H516" t="s">
        <v>13</v>
      </c>
      <c r="I516" t="s">
        <v>984</v>
      </c>
    </row>
    <row r="517" spans="1:9" x14ac:dyDescent="0.35">
      <c r="A517" t="s">
        <v>985</v>
      </c>
      <c r="B517" t="s">
        <v>213</v>
      </c>
      <c r="C517" t="s">
        <v>70</v>
      </c>
      <c r="D517">
        <v>59</v>
      </c>
      <c r="E517">
        <v>270431.25</v>
      </c>
      <c r="F517">
        <v>15955443.75</v>
      </c>
      <c r="G517" s="1">
        <v>45339</v>
      </c>
      <c r="H517" t="s">
        <v>47</v>
      </c>
      <c r="I517" t="s">
        <v>986</v>
      </c>
    </row>
    <row r="518" spans="1:9" x14ac:dyDescent="0.35">
      <c r="A518" t="s">
        <v>987</v>
      </c>
      <c r="B518" t="s">
        <v>61</v>
      </c>
      <c r="C518" t="s">
        <v>55</v>
      </c>
      <c r="E518">
        <v>207840.17</v>
      </c>
      <c r="G518" s="1">
        <v>45619</v>
      </c>
      <c r="H518" t="s">
        <v>47</v>
      </c>
      <c r="I518" t="s">
        <v>988</v>
      </c>
    </row>
    <row r="519" spans="1:9" x14ac:dyDescent="0.35">
      <c r="A519" t="s">
        <v>989</v>
      </c>
      <c r="B519" t="s">
        <v>37</v>
      </c>
      <c r="C519" t="s">
        <v>46</v>
      </c>
      <c r="D519">
        <v>46</v>
      </c>
      <c r="E519">
        <v>170251.85</v>
      </c>
      <c r="F519">
        <v>7831585.0999999996</v>
      </c>
      <c r="G519" s="1">
        <v>45163</v>
      </c>
      <c r="H519" t="s">
        <v>13</v>
      </c>
      <c r="I519" t="s">
        <v>990</v>
      </c>
    </row>
    <row r="520" spans="1:9" x14ac:dyDescent="0.35">
      <c r="A520" t="s">
        <v>991</v>
      </c>
      <c r="B520" t="s">
        <v>76</v>
      </c>
      <c r="C520" t="s">
        <v>27</v>
      </c>
      <c r="E520">
        <v>81692.97</v>
      </c>
      <c r="G520" s="1">
        <v>45823</v>
      </c>
      <c r="H520" t="s">
        <v>9</v>
      </c>
    </row>
    <row r="521" spans="1:9" x14ac:dyDescent="0.35">
      <c r="A521" t="s">
        <v>992</v>
      </c>
      <c r="B521" t="s">
        <v>42</v>
      </c>
      <c r="C521" t="s">
        <v>17</v>
      </c>
      <c r="E521">
        <v>277285.7</v>
      </c>
      <c r="G521" s="1">
        <v>45715</v>
      </c>
      <c r="H521" t="s">
        <v>47</v>
      </c>
      <c r="I521" t="s">
        <v>993</v>
      </c>
    </row>
    <row r="522" spans="1:9" x14ac:dyDescent="0.35">
      <c r="B522" t="s">
        <v>79</v>
      </c>
      <c r="C522" t="s">
        <v>1072</v>
      </c>
      <c r="G522" s="1">
        <v>45187</v>
      </c>
      <c r="I522" t="s">
        <v>994</v>
      </c>
    </row>
    <row r="523" spans="1:9" x14ac:dyDescent="0.35">
      <c r="A523" t="s">
        <v>995</v>
      </c>
      <c r="B523" t="s">
        <v>53</v>
      </c>
      <c r="C523" t="s">
        <v>55</v>
      </c>
      <c r="E523">
        <v>205486.41</v>
      </c>
      <c r="G523" s="1">
        <v>45624</v>
      </c>
      <c r="I523" t="s">
        <v>996</v>
      </c>
    </row>
    <row r="524" spans="1:9" x14ac:dyDescent="0.35">
      <c r="A524" t="s">
        <v>997</v>
      </c>
      <c r="B524" t="s">
        <v>1096</v>
      </c>
      <c r="C524" t="s">
        <v>27</v>
      </c>
      <c r="D524">
        <v>69</v>
      </c>
      <c r="E524">
        <v>84471.72</v>
      </c>
      <c r="F524">
        <v>5828548.6799999997</v>
      </c>
      <c r="G524" s="1">
        <v>45563</v>
      </c>
      <c r="I524" t="s">
        <v>998</v>
      </c>
    </row>
    <row r="525" spans="1:9" x14ac:dyDescent="0.35">
      <c r="A525" t="s">
        <v>999</v>
      </c>
      <c r="B525" t="s">
        <v>213</v>
      </c>
      <c r="C525" t="s">
        <v>46</v>
      </c>
      <c r="E525">
        <v>163137.69</v>
      </c>
      <c r="G525" s="1">
        <v>45298</v>
      </c>
      <c r="I525" t="s">
        <v>1000</v>
      </c>
    </row>
    <row r="526" spans="1:9" x14ac:dyDescent="0.35">
      <c r="A526" t="s">
        <v>1001</v>
      </c>
      <c r="B526" t="s">
        <v>105</v>
      </c>
      <c r="C526" t="s">
        <v>17</v>
      </c>
      <c r="E526">
        <v>197603.72</v>
      </c>
      <c r="G526" s="1">
        <v>45533</v>
      </c>
      <c r="H526" t="s">
        <v>13</v>
      </c>
      <c r="I526" t="s">
        <v>1002</v>
      </c>
    </row>
    <row r="527" spans="1:9" x14ac:dyDescent="0.35">
      <c r="A527" t="s">
        <v>1003</v>
      </c>
      <c r="B527" t="s">
        <v>20</v>
      </c>
      <c r="C527" t="s">
        <v>23</v>
      </c>
      <c r="E527">
        <v>54216.67</v>
      </c>
      <c r="G527" s="1">
        <v>45691</v>
      </c>
      <c r="H527" t="s">
        <v>9</v>
      </c>
      <c r="I527" t="s">
        <v>1004</v>
      </c>
    </row>
    <row r="528" spans="1:9" x14ac:dyDescent="0.35">
      <c r="A528" t="s">
        <v>1097</v>
      </c>
      <c r="B528" t="s">
        <v>26</v>
      </c>
      <c r="C528" t="s">
        <v>70</v>
      </c>
      <c r="E528">
        <v>255203.07</v>
      </c>
      <c r="G528" s="1">
        <v>45679</v>
      </c>
      <c r="H528" t="s">
        <v>13</v>
      </c>
      <c r="I528" t="s">
        <v>1005</v>
      </c>
    </row>
    <row r="529" spans="1:9" x14ac:dyDescent="0.35">
      <c r="A529" t="s">
        <v>1006</v>
      </c>
      <c r="B529" t="s">
        <v>11</v>
      </c>
      <c r="C529" t="s">
        <v>46</v>
      </c>
      <c r="D529">
        <v>47</v>
      </c>
      <c r="E529">
        <v>5189.6000000000004</v>
      </c>
      <c r="F529">
        <v>243911.2</v>
      </c>
      <c r="G529" s="1">
        <v>45778</v>
      </c>
      <c r="H529" t="s">
        <v>47</v>
      </c>
      <c r="I529" t="s">
        <v>1007</v>
      </c>
    </row>
    <row r="530" spans="1:9" x14ac:dyDescent="0.35">
      <c r="A530" t="s">
        <v>1008</v>
      </c>
      <c r="B530" t="s">
        <v>31</v>
      </c>
      <c r="C530" t="s">
        <v>1078</v>
      </c>
      <c r="D530">
        <v>52</v>
      </c>
      <c r="E530">
        <v>62543.86</v>
      </c>
      <c r="F530">
        <v>3252280.72</v>
      </c>
      <c r="G530" s="1">
        <v>45845</v>
      </c>
      <c r="I530" t="s">
        <v>1009</v>
      </c>
    </row>
    <row r="531" spans="1:9" x14ac:dyDescent="0.35">
      <c r="A531" t="s">
        <v>1010</v>
      </c>
      <c r="B531" t="s">
        <v>42</v>
      </c>
      <c r="C531" t="s">
        <v>90</v>
      </c>
      <c r="E531">
        <v>43685.37</v>
      </c>
      <c r="G531" s="1">
        <v>45146</v>
      </c>
      <c r="I531" t="s">
        <v>1011</v>
      </c>
    </row>
    <row r="532" spans="1:9" x14ac:dyDescent="0.35">
      <c r="A532" t="s">
        <v>1012</v>
      </c>
      <c r="B532" t="s">
        <v>20</v>
      </c>
      <c r="C532" t="s">
        <v>90</v>
      </c>
      <c r="G532" s="1">
        <v>45827</v>
      </c>
      <c r="I532" t="s">
        <v>1013</v>
      </c>
    </row>
    <row r="533" spans="1:9" x14ac:dyDescent="0.35">
      <c r="A533" t="s">
        <v>1014</v>
      </c>
      <c r="B533" t="s">
        <v>1081</v>
      </c>
      <c r="C533" t="s">
        <v>23</v>
      </c>
      <c r="E533">
        <v>246296.88</v>
      </c>
      <c r="G533" s="1">
        <v>45833</v>
      </c>
      <c r="H533" t="s">
        <v>47</v>
      </c>
      <c r="I533" t="s">
        <v>1015</v>
      </c>
    </row>
    <row r="534" spans="1:9" x14ac:dyDescent="0.35">
      <c r="A534" t="s">
        <v>1016</v>
      </c>
      <c r="B534" t="s">
        <v>58</v>
      </c>
      <c r="C534" t="s">
        <v>17</v>
      </c>
      <c r="E534">
        <v>246360.27</v>
      </c>
      <c r="G534" s="1">
        <v>45253</v>
      </c>
      <c r="H534" t="s">
        <v>28</v>
      </c>
    </row>
    <row r="535" spans="1:9" x14ac:dyDescent="0.35">
      <c r="B535" t="s">
        <v>76</v>
      </c>
      <c r="C535" t="s">
        <v>46</v>
      </c>
      <c r="E535">
        <v>278698.03999999998</v>
      </c>
      <c r="G535" s="1">
        <v>45442</v>
      </c>
      <c r="H535" t="s">
        <v>13</v>
      </c>
      <c r="I535" t="s">
        <v>1017</v>
      </c>
    </row>
    <row r="536" spans="1:9" x14ac:dyDescent="0.35">
      <c r="A536" t="s">
        <v>1018</v>
      </c>
      <c r="B536" t="s">
        <v>45</v>
      </c>
      <c r="C536" t="s">
        <v>46</v>
      </c>
      <c r="E536">
        <v>90133.43</v>
      </c>
      <c r="G536" s="1">
        <v>45803</v>
      </c>
      <c r="H536" t="s">
        <v>9</v>
      </c>
      <c r="I536" t="s">
        <v>1019</v>
      </c>
    </row>
    <row r="537" spans="1:9" x14ac:dyDescent="0.35">
      <c r="A537" t="s">
        <v>1020</v>
      </c>
      <c r="B537" t="s">
        <v>34</v>
      </c>
      <c r="C537" t="s">
        <v>27</v>
      </c>
      <c r="E537">
        <v>169405.48</v>
      </c>
      <c r="G537" s="1">
        <v>45768</v>
      </c>
      <c r="H537" t="s">
        <v>47</v>
      </c>
      <c r="I537" t="s">
        <v>1021</v>
      </c>
    </row>
    <row r="538" spans="1:9" x14ac:dyDescent="0.35">
      <c r="A538" t="s">
        <v>1022</v>
      </c>
      <c r="B538" t="s">
        <v>20</v>
      </c>
      <c r="C538" t="s">
        <v>1078</v>
      </c>
      <c r="E538">
        <v>170225.43</v>
      </c>
      <c r="G538" s="1">
        <v>45254</v>
      </c>
      <c r="H538" t="s">
        <v>28</v>
      </c>
      <c r="I538" t="s">
        <v>1023</v>
      </c>
    </row>
    <row r="539" spans="1:9" x14ac:dyDescent="0.35">
      <c r="A539" t="s">
        <v>1024</v>
      </c>
      <c r="B539" t="s">
        <v>31</v>
      </c>
      <c r="C539" t="s">
        <v>70</v>
      </c>
      <c r="D539">
        <v>16</v>
      </c>
      <c r="E539">
        <v>254908.01</v>
      </c>
      <c r="F539">
        <v>4078528.16</v>
      </c>
      <c r="G539" s="1">
        <v>45843</v>
      </c>
      <c r="H539" t="s">
        <v>28</v>
      </c>
      <c r="I539" t="s">
        <v>1025</v>
      </c>
    </row>
    <row r="540" spans="1:9" x14ac:dyDescent="0.35">
      <c r="A540" t="s">
        <v>1026</v>
      </c>
      <c r="B540" t="s">
        <v>76</v>
      </c>
      <c r="C540" t="s">
        <v>17</v>
      </c>
      <c r="E540">
        <v>203271.97</v>
      </c>
      <c r="G540" s="1">
        <v>45832</v>
      </c>
      <c r="H540" t="s">
        <v>9</v>
      </c>
      <c r="I540" t="s">
        <v>1027</v>
      </c>
    </row>
    <row r="541" spans="1:9" x14ac:dyDescent="0.35">
      <c r="A541" t="s">
        <v>1028</v>
      </c>
      <c r="B541" t="s">
        <v>26</v>
      </c>
      <c r="C541" t="s">
        <v>55</v>
      </c>
      <c r="E541">
        <v>162398.45000000001</v>
      </c>
      <c r="G541" s="1">
        <v>45146</v>
      </c>
      <c r="H541" t="s">
        <v>47</v>
      </c>
      <c r="I541" t="s">
        <v>1029</v>
      </c>
    </row>
    <row r="542" spans="1:9" x14ac:dyDescent="0.35">
      <c r="A542" t="s">
        <v>1030</v>
      </c>
      <c r="B542" t="s">
        <v>1090</v>
      </c>
      <c r="C542" t="s">
        <v>70</v>
      </c>
      <c r="G542" s="1">
        <v>45767</v>
      </c>
      <c r="H542" t="s">
        <v>28</v>
      </c>
      <c r="I542" t="s">
        <v>1031</v>
      </c>
    </row>
    <row r="543" spans="1:9" x14ac:dyDescent="0.35">
      <c r="A543" t="s">
        <v>1032</v>
      </c>
      <c r="B543" t="s">
        <v>58</v>
      </c>
      <c r="C543" t="s">
        <v>12</v>
      </c>
      <c r="D543">
        <v>97</v>
      </c>
      <c r="E543">
        <v>115461.94</v>
      </c>
      <c r="F543">
        <v>11199808.18</v>
      </c>
      <c r="G543" s="1">
        <v>45426</v>
      </c>
      <c r="I543" t="s">
        <v>1033</v>
      </c>
    </row>
    <row r="544" spans="1:9" x14ac:dyDescent="0.35">
      <c r="A544" t="s">
        <v>1034</v>
      </c>
      <c r="B544" t="s">
        <v>34</v>
      </c>
      <c r="C544" t="s">
        <v>70</v>
      </c>
      <c r="E544">
        <v>222053.68</v>
      </c>
      <c r="G544" s="1">
        <v>45730</v>
      </c>
      <c r="H544" t="s">
        <v>9</v>
      </c>
      <c r="I544" t="s">
        <v>1035</v>
      </c>
    </row>
    <row r="545" spans="1:9" x14ac:dyDescent="0.35">
      <c r="A545" t="s">
        <v>1036</v>
      </c>
      <c r="B545" t="s">
        <v>61</v>
      </c>
      <c r="C545" t="s">
        <v>46</v>
      </c>
      <c r="E545">
        <v>237254.18</v>
      </c>
      <c r="G545" s="1">
        <v>45502</v>
      </c>
      <c r="I545" t="s">
        <v>1037</v>
      </c>
    </row>
    <row r="546" spans="1:9" x14ac:dyDescent="0.35">
      <c r="A546" t="s">
        <v>1098</v>
      </c>
      <c r="B546" t="s">
        <v>89</v>
      </c>
      <c r="C546" t="s">
        <v>1062</v>
      </c>
      <c r="D546">
        <v>65</v>
      </c>
      <c r="E546">
        <v>206948.51</v>
      </c>
      <c r="F546">
        <v>13451653.15</v>
      </c>
      <c r="G546" s="1">
        <v>45262</v>
      </c>
      <c r="H546" t="s">
        <v>9</v>
      </c>
      <c r="I546" t="s">
        <v>1038</v>
      </c>
    </row>
    <row r="547" spans="1:9" x14ac:dyDescent="0.35">
      <c r="A547" t="s">
        <v>1039</v>
      </c>
      <c r="B547" t="s">
        <v>76</v>
      </c>
      <c r="C547" t="s">
        <v>70</v>
      </c>
      <c r="D547">
        <v>6</v>
      </c>
      <c r="E547">
        <v>23989.09</v>
      </c>
      <c r="F547">
        <v>143934.54</v>
      </c>
      <c r="G547" s="1">
        <v>45845</v>
      </c>
      <c r="H547" t="s">
        <v>13</v>
      </c>
      <c r="I547" t="s">
        <v>1040</v>
      </c>
    </row>
    <row r="548" spans="1:9" x14ac:dyDescent="0.35">
      <c r="B548" t="s">
        <v>61</v>
      </c>
      <c r="C548" t="s">
        <v>23</v>
      </c>
      <c r="E548">
        <v>223764.24</v>
      </c>
      <c r="G548" s="1">
        <v>45699</v>
      </c>
      <c r="H548" t="s">
        <v>13</v>
      </c>
    </row>
    <row r="549" spans="1:9" x14ac:dyDescent="0.35">
      <c r="A549" t="s">
        <v>1041</v>
      </c>
      <c r="B549" t="s">
        <v>58</v>
      </c>
      <c r="C549" t="s">
        <v>90</v>
      </c>
      <c r="E549">
        <v>104084.92</v>
      </c>
      <c r="G549" s="1">
        <v>45795</v>
      </c>
      <c r="H549" t="s">
        <v>47</v>
      </c>
      <c r="I549" t="s">
        <v>1042</v>
      </c>
    </row>
    <row r="550" spans="1:9" x14ac:dyDescent="0.35">
      <c r="A550" t="s">
        <v>1043</v>
      </c>
      <c r="B550" t="s">
        <v>42</v>
      </c>
      <c r="C550" t="s">
        <v>55</v>
      </c>
      <c r="E550">
        <v>29756.89</v>
      </c>
      <c r="G550" s="1">
        <v>45837</v>
      </c>
      <c r="H550" t="s">
        <v>28</v>
      </c>
      <c r="I550" t="s">
        <v>1044</v>
      </c>
    </row>
    <row r="551" spans="1:9" x14ac:dyDescent="0.35">
      <c r="A551" t="s">
        <v>1045</v>
      </c>
      <c r="B551" t="s">
        <v>1071</v>
      </c>
      <c r="C551" t="s">
        <v>27</v>
      </c>
      <c r="E551">
        <v>70027.13</v>
      </c>
      <c r="G551" s="1">
        <v>45342</v>
      </c>
      <c r="I551" t="s">
        <v>1046</v>
      </c>
    </row>
  </sheetData>
  <conditionalFormatting sqref="A1:A1048576">
    <cfRule type="containsText" dxfId="8" priority="1" operator="containsText" text="Unknown Customer">
      <formula>NOT(ISERROR(SEARCH("Unknown Customer",A1)))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5D6-99E6-4BC2-B243-9D3DB9441937}">
  <dimension ref="A1:L551"/>
  <sheetViews>
    <sheetView workbookViewId="0">
      <selection activeCell="A11" sqref="A11"/>
    </sheetView>
  </sheetViews>
  <sheetFormatPr defaultRowHeight="14.5" x14ac:dyDescent="0.35"/>
  <cols>
    <col min="1" max="1" width="19.81640625" bestFit="1" customWidth="1"/>
    <col min="2" max="2" width="10" bestFit="1" customWidth="1"/>
    <col min="3" max="3" width="11.36328125" bestFit="1" customWidth="1"/>
    <col min="4" max="4" width="10" bestFit="1" customWidth="1"/>
    <col min="5" max="5" width="9.81640625" bestFit="1" customWidth="1"/>
    <col min="6" max="6" width="11.81640625" bestFit="1" customWidth="1"/>
    <col min="7" max="7" width="10.08984375" bestFit="1" customWidth="1"/>
    <col min="8" max="8" width="9.08984375" bestFit="1" customWidth="1"/>
    <col min="9" max="9" width="11.1796875" bestFit="1" customWidth="1"/>
    <col min="10" max="10" width="18.453125" bestFit="1" customWidth="1"/>
    <col min="11" max="11" width="13.453125" bestFit="1" customWidth="1"/>
    <col min="12" max="12" width="36.81640625" bestFit="1" customWidth="1"/>
  </cols>
  <sheetData>
    <row r="1" spans="1:12" ht="15.5" x14ac:dyDescent="0.35">
      <c r="A1" s="4" t="s">
        <v>0</v>
      </c>
      <c r="B1" s="4" t="s">
        <v>1</v>
      </c>
      <c r="C1" s="4" t="s">
        <v>2</v>
      </c>
      <c r="D1" s="4" t="s">
        <v>3</v>
      </c>
      <c r="E1" s="4" t="s">
        <v>4</v>
      </c>
      <c r="F1" s="4" t="s">
        <v>5</v>
      </c>
      <c r="G1" s="4" t="s">
        <v>6</v>
      </c>
      <c r="H1" s="4" t="s">
        <v>1058</v>
      </c>
      <c r="I1" s="4" t="s">
        <v>1059</v>
      </c>
      <c r="J1" s="4" t="s">
        <v>1060</v>
      </c>
      <c r="K1" s="4" t="s">
        <v>7</v>
      </c>
      <c r="L1" s="4" t="s">
        <v>8</v>
      </c>
    </row>
    <row r="2" spans="1:12" x14ac:dyDescent="0.35">
      <c r="A2" t="s">
        <v>1047</v>
      </c>
      <c r="B2" t="s">
        <v>31</v>
      </c>
      <c r="C2" t="s">
        <v>17</v>
      </c>
      <c r="D2">
        <v>1</v>
      </c>
      <c r="E2">
        <v>0</v>
      </c>
      <c r="F2">
        <v>0</v>
      </c>
      <c r="G2" s="1">
        <v>45774</v>
      </c>
      <c r="H2">
        <f>YEAR(G2)</f>
        <v>2025</v>
      </c>
      <c r="I2" s="3" t="str">
        <f>TEXT(G2,"mmm-yyyy")</f>
        <v>Apr-2025</v>
      </c>
      <c r="J2">
        <f>WEEKNUM(G2)</f>
        <v>18</v>
      </c>
      <c r="K2" t="s">
        <v>9</v>
      </c>
      <c r="L2" t="s">
        <v>1099</v>
      </c>
    </row>
    <row r="3" spans="1:12" x14ac:dyDescent="0.35">
      <c r="A3" t="s">
        <v>10</v>
      </c>
      <c r="B3" t="s">
        <v>11</v>
      </c>
      <c r="C3" t="s">
        <v>12</v>
      </c>
      <c r="D3">
        <v>1</v>
      </c>
      <c r="E3">
        <v>267992.94</v>
      </c>
      <c r="F3">
        <v>267992.94</v>
      </c>
      <c r="G3" s="1">
        <v>45366</v>
      </c>
      <c r="H3">
        <f t="shared" ref="H3:H66" si="0">YEAR(G3)</f>
        <v>2024</v>
      </c>
      <c r="I3" s="3" t="str">
        <f t="shared" ref="I3:I66" si="1">TEXT(G3,"mmm-yyyy")</f>
        <v>Mar-2024</v>
      </c>
      <c r="J3">
        <f t="shared" ref="J3:J66" si="2">WEEKNUM(G3)</f>
        <v>11</v>
      </c>
      <c r="K3" t="s">
        <v>13</v>
      </c>
      <c r="L3" t="s">
        <v>14</v>
      </c>
    </row>
    <row r="4" spans="1:12" x14ac:dyDescent="0.35">
      <c r="A4" t="s">
        <v>15</v>
      </c>
      <c r="B4" t="s">
        <v>16</v>
      </c>
      <c r="C4" t="s">
        <v>17</v>
      </c>
      <c r="D4">
        <v>1</v>
      </c>
      <c r="E4">
        <v>42364.41</v>
      </c>
      <c r="F4">
        <v>42364.41</v>
      </c>
      <c r="G4" s="1">
        <v>45636</v>
      </c>
      <c r="H4">
        <f t="shared" si="0"/>
        <v>2024</v>
      </c>
      <c r="I4" s="3" t="str">
        <f t="shared" si="1"/>
        <v>Dec-2024</v>
      </c>
      <c r="J4">
        <f t="shared" si="2"/>
        <v>50</v>
      </c>
      <c r="K4" t="s">
        <v>47</v>
      </c>
      <c r="L4" t="s">
        <v>18</v>
      </c>
    </row>
    <row r="5" spans="1:12" x14ac:dyDescent="0.35">
      <c r="A5" t="s">
        <v>19</v>
      </c>
      <c r="B5" t="s">
        <v>20</v>
      </c>
      <c r="C5" t="s">
        <v>17</v>
      </c>
      <c r="D5">
        <v>1</v>
      </c>
      <c r="E5">
        <v>279444.94</v>
      </c>
      <c r="F5">
        <v>279444.94</v>
      </c>
      <c r="G5" s="1">
        <v>45387</v>
      </c>
      <c r="H5">
        <f t="shared" si="0"/>
        <v>2024</v>
      </c>
      <c r="I5" s="3" t="str">
        <f t="shared" si="1"/>
        <v>Apr-2024</v>
      </c>
      <c r="J5">
        <f t="shared" si="2"/>
        <v>14</v>
      </c>
      <c r="K5" t="s">
        <v>47</v>
      </c>
      <c r="L5" t="s">
        <v>21</v>
      </c>
    </row>
    <row r="6" spans="1:12" x14ac:dyDescent="0.35">
      <c r="A6" t="s">
        <v>22</v>
      </c>
      <c r="B6" t="s">
        <v>20</v>
      </c>
      <c r="C6" t="s">
        <v>23</v>
      </c>
      <c r="D6">
        <v>1</v>
      </c>
      <c r="E6">
        <v>95899.74</v>
      </c>
      <c r="F6">
        <v>95899.74</v>
      </c>
      <c r="G6" s="1">
        <v>45669</v>
      </c>
      <c r="H6">
        <f t="shared" si="0"/>
        <v>2025</v>
      </c>
      <c r="I6" s="3" t="str">
        <f t="shared" si="1"/>
        <v>Jan-2025</v>
      </c>
      <c r="J6">
        <f t="shared" si="2"/>
        <v>3</v>
      </c>
      <c r="K6" t="s">
        <v>47</v>
      </c>
      <c r="L6" t="s">
        <v>24</v>
      </c>
    </row>
    <row r="7" spans="1:12" x14ac:dyDescent="0.35">
      <c r="A7" t="s">
        <v>25</v>
      </c>
      <c r="B7" t="s">
        <v>26</v>
      </c>
      <c r="C7" t="s">
        <v>27</v>
      </c>
      <c r="D7">
        <v>1</v>
      </c>
      <c r="E7">
        <v>118189.9</v>
      </c>
      <c r="F7">
        <v>118189.9</v>
      </c>
      <c r="G7" s="1">
        <v>45168</v>
      </c>
      <c r="H7">
        <f t="shared" si="0"/>
        <v>2023</v>
      </c>
      <c r="I7" s="3" t="str">
        <f t="shared" si="1"/>
        <v>Aug-2023</v>
      </c>
      <c r="J7">
        <f t="shared" si="2"/>
        <v>35</v>
      </c>
      <c r="K7" t="s">
        <v>28</v>
      </c>
      <c r="L7" t="s">
        <v>29</v>
      </c>
    </row>
    <row r="8" spans="1:12" x14ac:dyDescent="0.35">
      <c r="A8" t="s">
        <v>30</v>
      </c>
      <c r="B8" t="s">
        <v>31</v>
      </c>
      <c r="C8" t="s">
        <v>23</v>
      </c>
      <c r="D8">
        <v>36</v>
      </c>
      <c r="E8">
        <v>185141.9</v>
      </c>
      <c r="F8">
        <v>6665108.3999999994</v>
      </c>
      <c r="G8" s="1">
        <v>45545</v>
      </c>
      <c r="H8">
        <f t="shared" si="0"/>
        <v>2024</v>
      </c>
      <c r="I8" s="3" t="str">
        <f t="shared" si="1"/>
        <v>Sep-2024</v>
      </c>
      <c r="J8">
        <f t="shared" si="2"/>
        <v>37</v>
      </c>
      <c r="K8" t="s">
        <v>13</v>
      </c>
      <c r="L8" t="s">
        <v>32</v>
      </c>
    </row>
    <row r="9" spans="1:12" x14ac:dyDescent="0.35">
      <c r="A9" t="s">
        <v>33</v>
      </c>
      <c r="B9" t="s">
        <v>34</v>
      </c>
      <c r="C9" t="s">
        <v>17</v>
      </c>
      <c r="D9">
        <v>1</v>
      </c>
      <c r="E9">
        <v>252859.28</v>
      </c>
      <c r="F9">
        <v>252859.28</v>
      </c>
      <c r="G9" s="1">
        <v>45539</v>
      </c>
      <c r="H9">
        <f t="shared" si="0"/>
        <v>2024</v>
      </c>
      <c r="I9" s="3" t="str">
        <f t="shared" si="1"/>
        <v>Sep-2024</v>
      </c>
      <c r="J9">
        <f t="shared" si="2"/>
        <v>36</v>
      </c>
      <c r="K9" t="s">
        <v>9</v>
      </c>
      <c r="L9" t="s">
        <v>35</v>
      </c>
    </row>
    <row r="10" spans="1:12" x14ac:dyDescent="0.35">
      <c r="A10" t="s">
        <v>36</v>
      </c>
      <c r="B10" t="s">
        <v>37</v>
      </c>
      <c r="C10" t="s">
        <v>27</v>
      </c>
      <c r="D10">
        <v>1</v>
      </c>
      <c r="E10">
        <v>178320.53</v>
      </c>
      <c r="F10">
        <v>178320.53</v>
      </c>
      <c r="G10" s="1">
        <v>45343</v>
      </c>
      <c r="H10">
        <f t="shared" si="0"/>
        <v>2024</v>
      </c>
      <c r="I10" s="3" t="str">
        <f t="shared" si="1"/>
        <v>Feb-2024</v>
      </c>
      <c r="J10">
        <f t="shared" si="2"/>
        <v>8</v>
      </c>
      <c r="K10" t="s">
        <v>13</v>
      </c>
      <c r="L10" t="s">
        <v>38</v>
      </c>
    </row>
    <row r="11" spans="1:12" x14ac:dyDescent="0.35">
      <c r="A11" t="s">
        <v>39</v>
      </c>
      <c r="B11" t="s">
        <v>79</v>
      </c>
      <c r="C11" t="s">
        <v>23</v>
      </c>
      <c r="D11">
        <v>1</v>
      </c>
      <c r="E11">
        <v>152440.84</v>
      </c>
      <c r="F11">
        <v>152440.84</v>
      </c>
      <c r="G11" s="1">
        <v>45810</v>
      </c>
      <c r="H11">
        <f t="shared" si="0"/>
        <v>2025</v>
      </c>
      <c r="I11" s="3" t="str">
        <f t="shared" si="1"/>
        <v>Jun-2025</v>
      </c>
      <c r="J11">
        <f t="shared" si="2"/>
        <v>23</v>
      </c>
      <c r="K11" t="s">
        <v>28</v>
      </c>
      <c r="L11" t="s">
        <v>40</v>
      </c>
    </row>
    <row r="12" spans="1:12" x14ac:dyDescent="0.35">
      <c r="A12" t="s">
        <v>41</v>
      </c>
      <c r="B12" t="s">
        <v>42</v>
      </c>
      <c r="C12" t="s">
        <v>17</v>
      </c>
      <c r="D12">
        <v>1</v>
      </c>
      <c r="E12">
        <v>0</v>
      </c>
      <c r="F12">
        <v>0</v>
      </c>
      <c r="G12" s="1">
        <v>45350</v>
      </c>
      <c r="H12">
        <f t="shared" si="0"/>
        <v>2024</v>
      </c>
      <c r="I12" s="3" t="str">
        <f t="shared" si="1"/>
        <v>Feb-2024</v>
      </c>
      <c r="J12">
        <f t="shared" si="2"/>
        <v>9</v>
      </c>
      <c r="K12" t="s">
        <v>28</v>
      </c>
      <c r="L12" t="s">
        <v>43</v>
      </c>
    </row>
    <row r="13" spans="1:12" x14ac:dyDescent="0.35">
      <c r="A13" t="s">
        <v>44</v>
      </c>
      <c r="B13" t="s">
        <v>45</v>
      </c>
      <c r="C13" t="s">
        <v>46</v>
      </c>
      <c r="D13">
        <v>3</v>
      </c>
      <c r="E13">
        <v>153159.37</v>
      </c>
      <c r="F13">
        <v>459478.11</v>
      </c>
      <c r="G13" s="1">
        <v>45779</v>
      </c>
      <c r="H13">
        <f t="shared" si="0"/>
        <v>2025</v>
      </c>
      <c r="I13" s="3" t="str">
        <f t="shared" si="1"/>
        <v>May-2025</v>
      </c>
      <c r="J13">
        <f t="shared" si="2"/>
        <v>18</v>
      </c>
      <c r="K13" t="s">
        <v>47</v>
      </c>
      <c r="L13" t="s">
        <v>48</v>
      </c>
    </row>
    <row r="14" spans="1:12" x14ac:dyDescent="0.35">
      <c r="A14" t="s">
        <v>49</v>
      </c>
      <c r="B14" t="s">
        <v>11</v>
      </c>
      <c r="C14" t="s">
        <v>23</v>
      </c>
      <c r="D14">
        <v>43</v>
      </c>
      <c r="E14">
        <v>147209.07</v>
      </c>
      <c r="F14">
        <v>6329990.0100000007</v>
      </c>
      <c r="G14" s="1">
        <v>45240</v>
      </c>
      <c r="H14">
        <f t="shared" si="0"/>
        <v>2023</v>
      </c>
      <c r="I14" s="3" t="str">
        <f t="shared" si="1"/>
        <v>Nov-2023</v>
      </c>
      <c r="J14">
        <f t="shared" si="2"/>
        <v>45</v>
      </c>
      <c r="K14" t="s">
        <v>13</v>
      </c>
      <c r="L14" t="s">
        <v>50</v>
      </c>
    </row>
    <row r="15" spans="1:12" x14ac:dyDescent="0.35">
      <c r="A15" t="s">
        <v>1047</v>
      </c>
      <c r="B15" t="s">
        <v>37</v>
      </c>
      <c r="C15" t="s">
        <v>27</v>
      </c>
      <c r="D15">
        <v>1</v>
      </c>
      <c r="E15">
        <v>169095.82</v>
      </c>
      <c r="F15">
        <v>169095.82</v>
      </c>
      <c r="G15" s="1">
        <v>45670</v>
      </c>
      <c r="H15">
        <f t="shared" si="0"/>
        <v>2025</v>
      </c>
      <c r="I15" s="3" t="str">
        <f t="shared" si="1"/>
        <v>Jan-2025</v>
      </c>
      <c r="J15">
        <f t="shared" si="2"/>
        <v>3</v>
      </c>
      <c r="K15" t="s">
        <v>47</v>
      </c>
      <c r="L15" t="s">
        <v>51</v>
      </c>
    </row>
    <row r="16" spans="1:12" x14ac:dyDescent="0.35">
      <c r="A16" t="s">
        <v>52</v>
      </c>
      <c r="B16" t="s">
        <v>53</v>
      </c>
      <c r="C16" t="s">
        <v>23</v>
      </c>
      <c r="D16">
        <v>27</v>
      </c>
      <c r="E16">
        <v>142730.32999999999</v>
      </c>
      <c r="F16">
        <v>3853718.9099999997</v>
      </c>
      <c r="G16" s="1">
        <v>45669</v>
      </c>
      <c r="H16">
        <f t="shared" si="0"/>
        <v>2025</v>
      </c>
      <c r="I16" s="3" t="str">
        <f t="shared" si="1"/>
        <v>Jan-2025</v>
      </c>
      <c r="J16">
        <f t="shared" si="2"/>
        <v>3</v>
      </c>
      <c r="K16" t="s">
        <v>28</v>
      </c>
      <c r="L16" t="s">
        <v>1100</v>
      </c>
    </row>
    <row r="17" spans="1:12" x14ac:dyDescent="0.35">
      <c r="A17" t="s">
        <v>54</v>
      </c>
      <c r="B17" t="s">
        <v>20</v>
      </c>
      <c r="C17" t="s">
        <v>55</v>
      </c>
      <c r="D17">
        <v>1</v>
      </c>
      <c r="E17">
        <v>5482.77</v>
      </c>
      <c r="F17">
        <v>5482.77</v>
      </c>
      <c r="G17" s="1">
        <v>45838</v>
      </c>
      <c r="H17">
        <f t="shared" si="0"/>
        <v>2025</v>
      </c>
      <c r="I17" s="3" t="str">
        <f t="shared" si="1"/>
        <v>Jun-2025</v>
      </c>
      <c r="J17">
        <f t="shared" si="2"/>
        <v>27</v>
      </c>
      <c r="K17" t="s">
        <v>28</v>
      </c>
      <c r="L17" t="s">
        <v>56</v>
      </c>
    </row>
    <row r="18" spans="1:12" x14ac:dyDescent="0.35">
      <c r="A18" t="s">
        <v>57</v>
      </c>
      <c r="B18" t="s">
        <v>58</v>
      </c>
      <c r="C18" t="s">
        <v>55</v>
      </c>
      <c r="D18">
        <v>1</v>
      </c>
      <c r="E18">
        <v>99706.26</v>
      </c>
      <c r="F18">
        <v>99706.26</v>
      </c>
      <c r="G18" s="1">
        <v>45661</v>
      </c>
      <c r="H18">
        <f t="shared" si="0"/>
        <v>2025</v>
      </c>
      <c r="I18" s="3" t="str">
        <f t="shared" si="1"/>
        <v>Jan-2025</v>
      </c>
      <c r="J18">
        <f t="shared" si="2"/>
        <v>1</v>
      </c>
      <c r="K18" t="s">
        <v>47</v>
      </c>
      <c r="L18" t="s">
        <v>59</v>
      </c>
    </row>
    <row r="19" spans="1:12" x14ac:dyDescent="0.35">
      <c r="A19" t="s">
        <v>60</v>
      </c>
      <c r="B19" t="s">
        <v>61</v>
      </c>
      <c r="C19" t="s">
        <v>46</v>
      </c>
      <c r="D19">
        <v>28</v>
      </c>
      <c r="E19">
        <v>33326.57</v>
      </c>
      <c r="F19">
        <v>933143.96</v>
      </c>
      <c r="G19" s="1">
        <v>45613</v>
      </c>
      <c r="H19">
        <f t="shared" si="0"/>
        <v>2024</v>
      </c>
      <c r="I19" s="3" t="str">
        <f t="shared" si="1"/>
        <v>Nov-2024</v>
      </c>
      <c r="J19">
        <f t="shared" si="2"/>
        <v>47</v>
      </c>
      <c r="K19" t="s">
        <v>47</v>
      </c>
      <c r="L19" t="s">
        <v>62</v>
      </c>
    </row>
    <row r="20" spans="1:12" x14ac:dyDescent="0.35">
      <c r="A20" t="s">
        <v>63</v>
      </c>
      <c r="B20" t="s">
        <v>11</v>
      </c>
      <c r="C20" t="s">
        <v>12</v>
      </c>
      <c r="D20">
        <v>43</v>
      </c>
      <c r="E20">
        <v>125253.81</v>
      </c>
      <c r="F20">
        <v>5385913.8300000001</v>
      </c>
      <c r="G20" s="1">
        <v>45253</v>
      </c>
      <c r="H20">
        <f t="shared" si="0"/>
        <v>2023</v>
      </c>
      <c r="I20" s="3" t="str">
        <f t="shared" si="1"/>
        <v>Nov-2023</v>
      </c>
      <c r="J20">
        <f t="shared" si="2"/>
        <v>47</v>
      </c>
      <c r="K20" t="s">
        <v>28</v>
      </c>
      <c r="L20" t="s">
        <v>64</v>
      </c>
    </row>
    <row r="21" spans="1:12" x14ac:dyDescent="0.35">
      <c r="A21" t="s">
        <v>65</v>
      </c>
      <c r="B21" t="s">
        <v>34</v>
      </c>
      <c r="C21" t="s">
        <v>12</v>
      </c>
      <c r="D21">
        <v>77</v>
      </c>
      <c r="E21">
        <v>92649.51</v>
      </c>
      <c r="F21">
        <v>7134012.2699999996</v>
      </c>
      <c r="G21" s="1">
        <v>45734</v>
      </c>
      <c r="H21">
        <f t="shared" si="0"/>
        <v>2025</v>
      </c>
      <c r="I21" s="3" t="str">
        <f t="shared" si="1"/>
        <v>Mar-2025</v>
      </c>
      <c r="J21">
        <f t="shared" si="2"/>
        <v>12</v>
      </c>
      <c r="K21" t="s">
        <v>9</v>
      </c>
      <c r="L21" t="s">
        <v>66</v>
      </c>
    </row>
    <row r="22" spans="1:12" x14ac:dyDescent="0.35">
      <c r="A22" t="s">
        <v>67</v>
      </c>
      <c r="B22" t="s">
        <v>53</v>
      </c>
      <c r="C22" t="s">
        <v>27</v>
      </c>
      <c r="D22">
        <v>36</v>
      </c>
      <c r="E22">
        <v>0</v>
      </c>
      <c r="F22">
        <v>0</v>
      </c>
      <c r="G22" s="1">
        <v>45398</v>
      </c>
      <c r="H22">
        <f t="shared" si="0"/>
        <v>2024</v>
      </c>
      <c r="I22" s="3" t="str">
        <f t="shared" si="1"/>
        <v>Apr-2024</v>
      </c>
      <c r="J22">
        <f t="shared" si="2"/>
        <v>16</v>
      </c>
      <c r="K22" t="s">
        <v>47</v>
      </c>
      <c r="L22" t="s">
        <v>68</v>
      </c>
    </row>
    <row r="23" spans="1:12" x14ac:dyDescent="0.35">
      <c r="A23" t="s">
        <v>69</v>
      </c>
      <c r="B23" t="s">
        <v>34</v>
      </c>
      <c r="C23" t="s">
        <v>70</v>
      </c>
      <c r="D23">
        <v>1</v>
      </c>
      <c r="E23">
        <v>269680.75</v>
      </c>
      <c r="F23">
        <v>269680.75</v>
      </c>
      <c r="G23" s="1">
        <v>45513</v>
      </c>
      <c r="H23">
        <f t="shared" si="0"/>
        <v>2024</v>
      </c>
      <c r="I23" s="3" t="str">
        <f t="shared" si="1"/>
        <v>Aug-2024</v>
      </c>
      <c r="J23">
        <f t="shared" si="2"/>
        <v>32</v>
      </c>
      <c r="K23" t="s">
        <v>13</v>
      </c>
      <c r="L23" t="s">
        <v>71</v>
      </c>
    </row>
    <row r="24" spans="1:12" x14ac:dyDescent="0.35">
      <c r="A24" t="s">
        <v>1048</v>
      </c>
      <c r="B24" t="s">
        <v>42</v>
      </c>
      <c r="C24" t="s">
        <v>12</v>
      </c>
      <c r="D24">
        <v>33</v>
      </c>
      <c r="E24">
        <v>261693.68</v>
      </c>
      <c r="F24">
        <v>8635891.4399999995</v>
      </c>
      <c r="G24" s="1">
        <v>45292</v>
      </c>
      <c r="H24">
        <f t="shared" si="0"/>
        <v>2024</v>
      </c>
      <c r="I24" s="3" t="str">
        <f t="shared" si="1"/>
        <v>Jan-2024</v>
      </c>
      <c r="J24">
        <f t="shared" si="2"/>
        <v>1</v>
      </c>
      <c r="K24" t="s">
        <v>47</v>
      </c>
      <c r="L24" t="s">
        <v>72</v>
      </c>
    </row>
    <row r="25" spans="1:12" x14ac:dyDescent="0.35">
      <c r="A25" t="s">
        <v>73</v>
      </c>
      <c r="B25" t="s">
        <v>20</v>
      </c>
      <c r="C25" t="s">
        <v>27</v>
      </c>
      <c r="D25">
        <v>1</v>
      </c>
      <c r="E25">
        <v>188963.51</v>
      </c>
      <c r="F25">
        <v>188963.51</v>
      </c>
      <c r="G25" s="1">
        <v>45212</v>
      </c>
      <c r="H25">
        <f t="shared" si="0"/>
        <v>2023</v>
      </c>
      <c r="I25" s="3" t="str">
        <f t="shared" si="1"/>
        <v>Oct-2023</v>
      </c>
      <c r="J25">
        <f t="shared" si="2"/>
        <v>41</v>
      </c>
      <c r="K25" t="s">
        <v>9</v>
      </c>
      <c r="L25" t="s">
        <v>74</v>
      </c>
    </row>
    <row r="26" spans="1:12" x14ac:dyDescent="0.35">
      <c r="A26" t="s">
        <v>75</v>
      </c>
      <c r="B26" t="s">
        <v>76</v>
      </c>
      <c r="C26" t="s">
        <v>46</v>
      </c>
      <c r="D26">
        <v>4</v>
      </c>
      <c r="E26">
        <v>179274.43</v>
      </c>
      <c r="F26">
        <v>717097.72</v>
      </c>
      <c r="G26" s="1">
        <v>45274</v>
      </c>
      <c r="H26">
        <f t="shared" si="0"/>
        <v>2023</v>
      </c>
      <c r="I26" s="3" t="str">
        <f t="shared" si="1"/>
        <v>Dec-2023</v>
      </c>
      <c r="J26">
        <f t="shared" si="2"/>
        <v>50</v>
      </c>
      <c r="K26" t="s">
        <v>9</v>
      </c>
      <c r="L26" t="s">
        <v>77</v>
      </c>
    </row>
    <row r="27" spans="1:12" x14ac:dyDescent="0.35">
      <c r="A27" t="s">
        <v>78</v>
      </c>
      <c r="B27" t="s">
        <v>79</v>
      </c>
      <c r="C27" t="s">
        <v>70</v>
      </c>
      <c r="D27">
        <v>1</v>
      </c>
      <c r="E27">
        <v>80026.37</v>
      </c>
      <c r="F27">
        <v>80026.37</v>
      </c>
      <c r="G27" s="1">
        <v>45733</v>
      </c>
      <c r="H27">
        <f t="shared" si="0"/>
        <v>2025</v>
      </c>
      <c r="I27" s="3" t="str">
        <f t="shared" si="1"/>
        <v>Mar-2025</v>
      </c>
      <c r="J27">
        <f t="shared" si="2"/>
        <v>12</v>
      </c>
      <c r="K27" t="s">
        <v>13</v>
      </c>
      <c r="L27" t="s">
        <v>80</v>
      </c>
    </row>
    <row r="28" spans="1:12" x14ac:dyDescent="0.35">
      <c r="A28" t="s">
        <v>1047</v>
      </c>
      <c r="B28" t="s">
        <v>16</v>
      </c>
      <c r="C28" t="s">
        <v>70</v>
      </c>
      <c r="D28">
        <v>1</v>
      </c>
      <c r="E28">
        <v>196849.5</v>
      </c>
      <c r="F28">
        <v>196849.5</v>
      </c>
      <c r="G28" s="1">
        <v>45225</v>
      </c>
      <c r="H28">
        <f t="shared" si="0"/>
        <v>2023</v>
      </c>
      <c r="I28" s="3" t="str">
        <f t="shared" si="1"/>
        <v>Oct-2023</v>
      </c>
      <c r="J28">
        <f t="shared" si="2"/>
        <v>43</v>
      </c>
      <c r="K28" t="s">
        <v>47</v>
      </c>
      <c r="L28" t="s">
        <v>81</v>
      </c>
    </row>
    <row r="29" spans="1:12" x14ac:dyDescent="0.35">
      <c r="A29" t="s">
        <v>82</v>
      </c>
      <c r="B29" t="s">
        <v>11</v>
      </c>
      <c r="C29" t="s">
        <v>55</v>
      </c>
      <c r="D29">
        <v>42</v>
      </c>
      <c r="E29">
        <v>291631.03000000003</v>
      </c>
      <c r="F29">
        <v>12248503.260000002</v>
      </c>
      <c r="G29" s="1">
        <v>45301</v>
      </c>
      <c r="H29">
        <f t="shared" si="0"/>
        <v>2024</v>
      </c>
      <c r="I29" s="3" t="str">
        <f t="shared" si="1"/>
        <v>Jan-2024</v>
      </c>
      <c r="J29">
        <f t="shared" si="2"/>
        <v>2</v>
      </c>
      <c r="K29" t="s">
        <v>28</v>
      </c>
      <c r="L29" t="s">
        <v>83</v>
      </c>
    </row>
    <row r="30" spans="1:12" x14ac:dyDescent="0.35">
      <c r="A30" t="s">
        <v>84</v>
      </c>
      <c r="B30" t="s">
        <v>85</v>
      </c>
      <c r="C30" t="s">
        <v>17</v>
      </c>
      <c r="D30">
        <v>1</v>
      </c>
      <c r="E30">
        <v>173753.06</v>
      </c>
      <c r="F30">
        <v>173753.06</v>
      </c>
      <c r="G30" s="1">
        <v>45731</v>
      </c>
      <c r="H30">
        <f t="shared" si="0"/>
        <v>2025</v>
      </c>
      <c r="I30" s="3" t="str">
        <f t="shared" si="1"/>
        <v>Mar-2025</v>
      </c>
      <c r="J30">
        <f t="shared" si="2"/>
        <v>11</v>
      </c>
      <c r="K30" t="s">
        <v>47</v>
      </c>
      <c r="L30" t="s">
        <v>1101</v>
      </c>
    </row>
    <row r="31" spans="1:12" x14ac:dyDescent="0.35">
      <c r="A31" t="s">
        <v>86</v>
      </c>
      <c r="B31" t="s">
        <v>42</v>
      </c>
      <c r="C31" t="s">
        <v>70</v>
      </c>
      <c r="D31">
        <v>7</v>
      </c>
      <c r="E31">
        <v>68649.2</v>
      </c>
      <c r="F31">
        <v>480544.39999999997</v>
      </c>
      <c r="G31" s="1">
        <v>45501</v>
      </c>
      <c r="H31">
        <f t="shared" si="0"/>
        <v>2024</v>
      </c>
      <c r="I31" s="3" t="str">
        <f t="shared" si="1"/>
        <v>Jul-2024</v>
      </c>
      <c r="J31">
        <f t="shared" si="2"/>
        <v>31</v>
      </c>
      <c r="K31" t="s">
        <v>28</v>
      </c>
      <c r="L31" t="s">
        <v>87</v>
      </c>
    </row>
    <row r="32" spans="1:12" x14ac:dyDescent="0.35">
      <c r="A32" t="s">
        <v>88</v>
      </c>
      <c r="B32" t="s">
        <v>89</v>
      </c>
      <c r="C32" t="s">
        <v>90</v>
      </c>
      <c r="D32">
        <v>1</v>
      </c>
      <c r="E32">
        <v>0</v>
      </c>
      <c r="F32">
        <v>0</v>
      </c>
      <c r="G32" s="1">
        <v>45138</v>
      </c>
      <c r="H32">
        <f t="shared" si="0"/>
        <v>2023</v>
      </c>
      <c r="I32" s="3" t="str">
        <f t="shared" si="1"/>
        <v>Jul-2023</v>
      </c>
      <c r="J32">
        <f t="shared" si="2"/>
        <v>31</v>
      </c>
      <c r="K32" t="s">
        <v>13</v>
      </c>
      <c r="L32" t="s">
        <v>91</v>
      </c>
    </row>
    <row r="33" spans="1:12" x14ac:dyDescent="0.35">
      <c r="A33" t="s">
        <v>92</v>
      </c>
      <c r="B33" t="s">
        <v>16</v>
      </c>
      <c r="C33" t="s">
        <v>27</v>
      </c>
      <c r="D33">
        <v>68</v>
      </c>
      <c r="E33">
        <v>15880.87</v>
      </c>
      <c r="F33">
        <v>1079899.1600000001</v>
      </c>
      <c r="G33" s="1">
        <v>45398</v>
      </c>
      <c r="H33">
        <f t="shared" si="0"/>
        <v>2024</v>
      </c>
      <c r="I33" s="3" t="str">
        <f t="shared" si="1"/>
        <v>Apr-2024</v>
      </c>
      <c r="J33">
        <f t="shared" si="2"/>
        <v>16</v>
      </c>
      <c r="K33" t="s">
        <v>13</v>
      </c>
      <c r="L33" t="s">
        <v>93</v>
      </c>
    </row>
    <row r="34" spans="1:12" x14ac:dyDescent="0.35">
      <c r="A34" t="s">
        <v>94</v>
      </c>
      <c r="B34" t="s">
        <v>26</v>
      </c>
      <c r="C34" t="s">
        <v>70</v>
      </c>
      <c r="D34">
        <v>96</v>
      </c>
      <c r="E34">
        <v>144394.41</v>
      </c>
      <c r="F34">
        <v>13861863.359999999</v>
      </c>
      <c r="G34" s="1">
        <v>45548</v>
      </c>
      <c r="H34">
        <f t="shared" si="0"/>
        <v>2024</v>
      </c>
      <c r="I34" s="3" t="str">
        <f t="shared" si="1"/>
        <v>Sep-2024</v>
      </c>
      <c r="J34">
        <f t="shared" si="2"/>
        <v>37</v>
      </c>
      <c r="K34" t="s">
        <v>9</v>
      </c>
      <c r="L34" t="s">
        <v>95</v>
      </c>
    </row>
    <row r="35" spans="1:12" x14ac:dyDescent="0.35">
      <c r="A35" t="s">
        <v>96</v>
      </c>
      <c r="B35" t="s">
        <v>53</v>
      </c>
      <c r="C35" t="s">
        <v>70</v>
      </c>
      <c r="D35">
        <v>1</v>
      </c>
      <c r="E35">
        <v>157507.57999999999</v>
      </c>
      <c r="F35">
        <v>157507.57999999999</v>
      </c>
      <c r="G35" s="1">
        <v>45562</v>
      </c>
      <c r="H35">
        <f t="shared" si="0"/>
        <v>2024</v>
      </c>
      <c r="I35" s="3" t="str">
        <f t="shared" si="1"/>
        <v>Sep-2024</v>
      </c>
      <c r="J35">
        <f t="shared" si="2"/>
        <v>39</v>
      </c>
      <c r="K35" t="s">
        <v>9</v>
      </c>
      <c r="L35" t="s">
        <v>97</v>
      </c>
    </row>
    <row r="36" spans="1:12" x14ac:dyDescent="0.35">
      <c r="A36" t="s">
        <v>98</v>
      </c>
      <c r="B36" t="s">
        <v>89</v>
      </c>
      <c r="C36" t="s">
        <v>90</v>
      </c>
      <c r="D36">
        <v>1</v>
      </c>
      <c r="E36">
        <v>216494.26</v>
      </c>
      <c r="F36">
        <v>216494.26</v>
      </c>
      <c r="G36" s="1">
        <v>45404</v>
      </c>
      <c r="H36">
        <f t="shared" si="0"/>
        <v>2024</v>
      </c>
      <c r="I36" s="3" t="str">
        <f t="shared" si="1"/>
        <v>Apr-2024</v>
      </c>
      <c r="J36">
        <f t="shared" si="2"/>
        <v>17</v>
      </c>
      <c r="K36" t="s">
        <v>9</v>
      </c>
      <c r="L36" t="s">
        <v>99</v>
      </c>
    </row>
    <row r="37" spans="1:12" x14ac:dyDescent="0.35">
      <c r="A37" t="s">
        <v>100</v>
      </c>
      <c r="B37" t="s">
        <v>31</v>
      </c>
      <c r="C37" t="s">
        <v>70</v>
      </c>
      <c r="D37">
        <v>1</v>
      </c>
      <c r="E37">
        <v>232494.54</v>
      </c>
      <c r="F37">
        <v>232494.54</v>
      </c>
      <c r="G37" s="1">
        <v>45481</v>
      </c>
      <c r="H37">
        <f t="shared" si="0"/>
        <v>2024</v>
      </c>
      <c r="I37" s="3" t="str">
        <f t="shared" si="1"/>
        <v>Jul-2024</v>
      </c>
      <c r="J37">
        <f t="shared" si="2"/>
        <v>28</v>
      </c>
      <c r="K37" t="s">
        <v>13</v>
      </c>
      <c r="L37" t="s">
        <v>101</v>
      </c>
    </row>
    <row r="38" spans="1:12" x14ac:dyDescent="0.35">
      <c r="A38" t="s">
        <v>102</v>
      </c>
      <c r="B38" t="s">
        <v>37</v>
      </c>
      <c r="C38" t="s">
        <v>17</v>
      </c>
      <c r="D38">
        <v>1</v>
      </c>
      <c r="E38">
        <v>114367.01</v>
      </c>
      <c r="F38">
        <v>114367.01</v>
      </c>
      <c r="G38" s="1">
        <v>45742</v>
      </c>
      <c r="H38">
        <f t="shared" si="0"/>
        <v>2025</v>
      </c>
      <c r="I38" s="3" t="str">
        <f t="shared" si="1"/>
        <v>Mar-2025</v>
      </c>
      <c r="J38">
        <f t="shared" si="2"/>
        <v>13</v>
      </c>
      <c r="K38" t="s">
        <v>28</v>
      </c>
      <c r="L38" t="s">
        <v>103</v>
      </c>
    </row>
    <row r="39" spans="1:12" x14ac:dyDescent="0.35">
      <c r="A39" t="s">
        <v>104</v>
      </c>
      <c r="B39" t="s">
        <v>105</v>
      </c>
      <c r="C39" t="s">
        <v>90</v>
      </c>
      <c r="D39">
        <v>65</v>
      </c>
      <c r="E39">
        <v>246587.56</v>
      </c>
      <c r="F39">
        <v>16028191.4</v>
      </c>
      <c r="G39" s="1">
        <v>45546</v>
      </c>
      <c r="H39">
        <f t="shared" si="0"/>
        <v>2024</v>
      </c>
      <c r="I39" s="3" t="str">
        <f t="shared" si="1"/>
        <v>Sep-2024</v>
      </c>
      <c r="J39">
        <f t="shared" si="2"/>
        <v>37</v>
      </c>
      <c r="K39" t="s">
        <v>13</v>
      </c>
      <c r="L39" t="s">
        <v>106</v>
      </c>
    </row>
    <row r="40" spans="1:12" x14ac:dyDescent="0.35">
      <c r="A40" t="s">
        <v>107</v>
      </c>
      <c r="B40" t="s">
        <v>31</v>
      </c>
      <c r="C40" t="s">
        <v>55</v>
      </c>
      <c r="D40">
        <v>79</v>
      </c>
      <c r="E40">
        <v>73037.87</v>
      </c>
      <c r="F40">
        <v>5769991.7299999995</v>
      </c>
      <c r="G40" s="1">
        <v>45218</v>
      </c>
      <c r="H40">
        <f t="shared" si="0"/>
        <v>2023</v>
      </c>
      <c r="I40" s="3" t="str">
        <f t="shared" si="1"/>
        <v>Oct-2023</v>
      </c>
      <c r="J40">
        <f t="shared" si="2"/>
        <v>42</v>
      </c>
      <c r="K40" t="s">
        <v>13</v>
      </c>
      <c r="L40" t="s">
        <v>108</v>
      </c>
    </row>
    <row r="41" spans="1:12" x14ac:dyDescent="0.35">
      <c r="A41" t="s">
        <v>1047</v>
      </c>
      <c r="B41" t="s">
        <v>109</v>
      </c>
      <c r="C41" t="s">
        <v>23</v>
      </c>
      <c r="D41">
        <v>1</v>
      </c>
      <c r="E41">
        <v>171984.8</v>
      </c>
      <c r="F41">
        <v>171984.8</v>
      </c>
      <c r="G41" s="1">
        <v>45593</v>
      </c>
      <c r="H41">
        <f t="shared" si="0"/>
        <v>2024</v>
      </c>
      <c r="I41" s="3" t="str">
        <f t="shared" si="1"/>
        <v>Oct-2024</v>
      </c>
      <c r="J41">
        <f t="shared" si="2"/>
        <v>44</v>
      </c>
      <c r="K41" t="s">
        <v>9</v>
      </c>
      <c r="L41" t="s">
        <v>110</v>
      </c>
    </row>
    <row r="42" spans="1:12" x14ac:dyDescent="0.35">
      <c r="A42" t="s">
        <v>111</v>
      </c>
      <c r="B42" t="s">
        <v>109</v>
      </c>
      <c r="C42" t="s">
        <v>70</v>
      </c>
      <c r="D42">
        <v>1</v>
      </c>
      <c r="E42">
        <v>0</v>
      </c>
      <c r="F42">
        <v>0</v>
      </c>
      <c r="G42" s="1">
        <v>45804</v>
      </c>
      <c r="H42">
        <f t="shared" si="0"/>
        <v>2025</v>
      </c>
      <c r="I42" s="3" t="str">
        <f t="shared" si="1"/>
        <v>May-2025</v>
      </c>
      <c r="J42">
        <f t="shared" si="2"/>
        <v>22</v>
      </c>
      <c r="K42" t="s">
        <v>47</v>
      </c>
      <c r="L42" t="s">
        <v>112</v>
      </c>
    </row>
    <row r="43" spans="1:12" x14ac:dyDescent="0.35">
      <c r="A43" t="s">
        <v>113</v>
      </c>
      <c r="B43" t="s">
        <v>61</v>
      </c>
      <c r="C43" t="s">
        <v>70</v>
      </c>
      <c r="D43">
        <v>1</v>
      </c>
      <c r="E43">
        <v>210306.01</v>
      </c>
      <c r="F43">
        <v>210306.01</v>
      </c>
      <c r="G43" s="1">
        <v>45184</v>
      </c>
      <c r="H43">
        <f t="shared" si="0"/>
        <v>2023</v>
      </c>
      <c r="I43" s="3" t="str">
        <f t="shared" si="1"/>
        <v>Sep-2023</v>
      </c>
      <c r="J43">
        <f t="shared" si="2"/>
        <v>37</v>
      </c>
      <c r="K43" t="s">
        <v>9</v>
      </c>
      <c r="L43" t="s">
        <v>114</v>
      </c>
    </row>
    <row r="44" spans="1:12" x14ac:dyDescent="0.35">
      <c r="A44" t="s">
        <v>115</v>
      </c>
      <c r="B44" t="s">
        <v>16</v>
      </c>
      <c r="C44" t="s">
        <v>27</v>
      </c>
      <c r="D44">
        <v>4</v>
      </c>
      <c r="E44">
        <v>57639.91</v>
      </c>
      <c r="F44">
        <v>230559.64</v>
      </c>
      <c r="G44" s="1">
        <v>45169</v>
      </c>
      <c r="H44">
        <f t="shared" si="0"/>
        <v>2023</v>
      </c>
      <c r="I44" s="3" t="str">
        <f t="shared" si="1"/>
        <v>Aug-2023</v>
      </c>
      <c r="J44">
        <f t="shared" si="2"/>
        <v>35</v>
      </c>
      <c r="K44" t="s">
        <v>47</v>
      </c>
      <c r="L44" t="s">
        <v>1102</v>
      </c>
    </row>
    <row r="45" spans="1:12" x14ac:dyDescent="0.35">
      <c r="A45" t="s">
        <v>116</v>
      </c>
      <c r="B45" t="s">
        <v>45</v>
      </c>
      <c r="C45" t="s">
        <v>17</v>
      </c>
      <c r="D45">
        <v>1</v>
      </c>
      <c r="E45">
        <v>132591.04999999999</v>
      </c>
      <c r="F45">
        <v>132591.04999999999</v>
      </c>
      <c r="G45" s="1">
        <v>45358</v>
      </c>
      <c r="H45">
        <f t="shared" si="0"/>
        <v>2024</v>
      </c>
      <c r="I45" s="3" t="str">
        <f t="shared" si="1"/>
        <v>Mar-2024</v>
      </c>
      <c r="J45">
        <f t="shared" si="2"/>
        <v>10</v>
      </c>
      <c r="K45" t="s">
        <v>28</v>
      </c>
      <c r="L45" t="s">
        <v>117</v>
      </c>
    </row>
    <row r="46" spans="1:12" x14ac:dyDescent="0.35">
      <c r="A46" t="s">
        <v>118</v>
      </c>
      <c r="B46" t="s">
        <v>76</v>
      </c>
      <c r="C46" t="s">
        <v>27</v>
      </c>
      <c r="D46">
        <v>1</v>
      </c>
      <c r="E46">
        <v>125924.7</v>
      </c>
      <c r="F46">
        <v>125924.7</v>
      </c>
      <c r="G46" s="1">
        <v>45427</v>
      </c>
      <c r="H46">
        <f t="shared" si="0"/>
        <v>2024</v>
      </c>
      <c r="I46" s="3" t="str">
        <f t="shared" si="1"/>
        <v>May-2024</v>
      </c>
      <c r="J46">
        <f t="shared" si="2"/>
        <v>20</v>
      </c>
      <c r="K46" t="s">
        <v>28</v>
      </c>
      <c r="L46" t="s">
        <v>119</v>
      </c>
    </row>
    <row r="47" spans="1:12" x14ac:dyDescent="0.35">
      <c r="A47" t="s">
        <v>120</v>
      </c>
      <c r="B47" t="s">
        <v>34</v>
      </c>
      <c r="C47" t="s">
        <v>23</v>
      </c>
      <c r="D47">
        <v>1</v>
      </c>
      <c r="E47">
        <v>124181.55</v>
      </c>
      <c r="F47">
        <v>124181.55</v>
      </c>
      <c r="G47" s="1">
        <v>45674</v>
      </c>
      <c r="H47">
        <f t="shared" si="0"/>
        <v>2025</v>
      </c>
      <c r="I47" s="3" t="str">
        <f t="shared" si="1"/>
        <v>Jan-2025</v>
      </c>
      <c r="J47">
        <f t="shared" si="2"/>
        <v>3</v>
      </c>
      <c r="K47" t="s">
        <v>47</v>
      </c>
      <c r="L47" t="s">
        <v>121</v>
      </c>
    </row>
    <row r="48" spans="1:12" x14ac:dyDescent="0.35">
      <c r="A48" t="s">
        <v>122</v>
      </c>
      <c r="B48" t="s">
        <v>31</v>
      </c>
      <c r="C48" t="s">
        <v>70</v>
      </c>
      <c r="D48">
        <v>1</v>
      </c>
      <c r="E48">
        <v>61565.56</v>
      </c>
      <c r="F48">
        <v>61565.56</v>
      </c>
      <c r="G48" s="1">
        <v>45676</v>
      </c>
      <c r="H48">
        <f t="shared" si="0"/>
        <v>2025</v>
      </c>
      <c r="I48" s="3" t="str">
        <f t="shared" si="1"/>
        <v>Jan-2025</v>
      </c>
      <c r="J48">
        <f t="shared" si="2"/>
        <v>4</v>
      </c>
      <c r="K48" t="s">
        <v>47</v>
      </c>
      <c r="L48" t="s">
        <v>123</v>
      </c>
    </row>
    <row r="49" spans="1:12" x14ac:dyDescent="0.35">
      <c r="A49" t="s">
        <v>124</v>
      </c>
      <c r="B49" t="s">
        <v>105</v>
      </c>
      <c r="C49" t="s">
        <v>17</v>
      </c>
      <c r="D49">
        <v>10</v>
      </c>
      <c r="E49">
        <v>150794.94</v>
      </c>
      <c r="F49">
        <v>1507949.4</v>
      </c>
      <c r="G49" s="1">
        <v>45489</v>
      </c>
      <c r="H49">
        <f t="shared" si="0"/>
        <v>2024</v>
      </c>
      <c r="I49" s="3" t="str">
        <f t="shared" si="1"/>
        <v>Jul-2024</v>
      </c>
      <c r="J49">
        <f t="shared" si="2"/>
        <v>29</v>
      </c>
      <c r="K49" t="s">
        <v>47</v>
      </c>
      <c r="L49" t="s">
        <v>125</v>
      </c>
    </row>
    <row r="50" spans="1:12" x14ac:dyDescent="0.35">
      <c r="A50" t="s">
        <v>126</v>
      </c>
      <c r="B50" t="s">
        <v>37</v>
      </c>
      <c r="C50" t="s">
        <v>90</v>
      </c>
      <c r="D50">
        <v>1</v>
      </c>
      <c r="E50">
        <v>183637.68</v>
      </c>
      <c r="F50">
        <v>183637.68</v>
      </c>
      <c r="G50" s="1">
        <v>45526</v>
      </c>
      <c r="H50">
        <f t="shared" si="0"/>
        <v>2024</v>
      </c>
      <c r="I50" s="3" t="str">
        <f t="shared" si="1"/>
        <v>Aug-2024</v>
      </c>
      <c r="J50">
        <f t="shared" si="2"/>
        <v>34</v>
      </c>
      <c r="K50" t="s">
        <v>28</v>
      </c>
      <c r="L50" t="s">
        <v>127</v>
      </c>
    </row>
    <row r="51" spans="1:12" x14ac:dyDescent="0.35">
      <c r="A51" t="s">
        <v>128</v>
      </c>
      <c r="B51" t="s">
        <v>34</v>
      </c>
      <c r="C51" t="s">
        <v>70</v>
      </c>
      <c r="D51">
        <v>19</v>
      </c>
      <c r="E51">
        <v>141745.84</v>
      </c>
      <c r="F51">
        <v>2693170.96</v>
      </c>
      <c r="G51" s="1">
        <v>45437</v>
      </c>
      <c r="H51">
        <f t="shared" si="0"/>
        <v>2024</v>
      </c>
      <c r="I51" s="3" t="str">
        <f t="shared" si="1"/>
        <v>May-2024</v>
      </c>
      <c r="J51">
        <f t="shared" si="2"/>
        <v>21</v>
      </c>
      <c r="K51" t="s">
        <v>9</v>
      </c>
      <c r="L51" t="s">
        <v>129</v>
      </c>
    </row>
    <row r="52" spans="1:12" x14ac:dyDescent="0.35">
      <c r="A52" t="s">
        <v>130</v>
      </c>
      <c r="B52" t="s">
        <v>131</v>
      </c>
      <c r="C52" t="s">
        <v>55</v>
      </c>
      <c r="D52">
        <v>1</v>
      </c>
      <c r="E52">
        <v>0</v>
      </c>
      <c r="F52">
        <v>0</v>
      </c>
      <c r="G52" s="1">
        <v>45715</v>
      </c>
      <c r="H52">
        <f t="shared" si="0"/>
        <v>2025</v>
      </c>
      <c r="I52" s="3" t="str">
        <f t="shared" si="1"/>
        <v>Feb-2025</v>
      </c>
      <c r="J52">
        <f t="shared" si="2"/>
        <v>9</v>
      </c>
      <c r="K52" t="s">
        <v>9</v>
      </c>
      <c r="L52" t="s">
        <v>132</v>
      </c>
    </row>
    <row r="53" spans="1:12" x14ac:dyDescent="0.35">
      <c r="A53" t="s">
        <v>133</v>
      </c>
      <c r="B53" t="s">
        <v>61</v>
      </c>
      <c r="C53" t="s">
        <v>70</v>
      </c>
      <c r="D53">
        <v>1</v>
      </c>
      <c r="E53">
        <v>254588.91</v>
      </c>
      <c r="F53">
        <v>254588.91</v>
      </c>
      <c r="G53" s="1">
        <v>45436</v>
      </c>
      <c r="H53">
        <f t="shared" si="0"/>
        <v>2024</v>
      </c>
      <c r="I53" s="3" t="str">
        <f t="shared" si="1"/>
        <v>May-2024</v>
      </c>
      <c r="J53">
        <f t="shared" si="2"/>
        <v>21</v>
      </c>
      <c r="K53" t="s">
        <v>9</v>
      </c>
      <c r="L53" t="s">
        <v>134</v>
      </c>
    </row>
    <row r="54" spans="1:12" x14ac:dyDescent="0.35">
      <c r="A54" t="s">
        <v>1047</v>
      </c>
      <c r="B54" t="s">
        <v>109</v>
      </c>
      <c r="C54" t="s">
        <v>12</v>
      </c>
      <c r="D54">
        <v>1</v>
      </c>
      <c r="E54">
        <v>218356.93</v>
      </c>
      <c r="F54">
        <v>218356.93</v>
      </c>
      <c r="G54" s="1">
        <v>45757</v>
      </c>
      <c r="H54">
        <f t="shared" si="0"/>
        <v>2025</v>
      </c>
      <c r="I54" s="3" t="str">
        <f t="shared" si="1"/>
        <v>Apr-2025</v>
      </c>
      <c r="J54">
        <f t="shared" si="2"/>
        <v>15</v>
      </c>
      <c r="K54" t="s">
        <v>13</v>
      </c>
      <c r="L54" t="s">
        <v>135</v>
      </c>
    </row>
    <row r="55" spans="1:12" x14ac:dyDescent="0.35">
      <c r="A55" t="s">
        <v>136</v>
      </c>
      <c r="B55" t="s">
        <v>79</v>
      </c>
      <c r="C55" t="s">
        <v>17</v>
      </c>
      <c r="D55">
        <v>1</v>
      </c>
      <c r="E55">
        <v>211879.67999999999</v>
      </c>
      <c r="F55">
        <v>211879.67999999999</v>
      </c>
      <c r="G55" s="1">
        <v>45564</v>
      </c>
      <c r="H55">
        <f t="shared" si="0"/>
        <v>2024</v>
      </c>
      <c r="I55" s="3" t="str">
        <f t="shared" si="1"/>
        <v>Sep-2024</v>
      </c>
      <c r="J55">
        <f t="shared" si="2"/>
        <v>40</v>
      </c>
      <c r="K55" t="s">
        <v>47</v>
      </c>
      <c r="L55" t="s">
        <v>137</v>
      </c>
    </row>
    <row r="56" spans="1:12" x14ac:dyDescent="0.35">
      <c r="A56" t="s">
        <v>138</v>
      </c>
      <c r="B56" t="s">
        <v>53</v>
      </c>
      <c r="C56" t="s">
        <v>12</v>
      </c>
      <c r="D56">
        <v>1</v>
      </c>
      <c r="E56">
        <v>155845.62</v>
      </c>
      <c r="F56">
        <v>155845.62</v>
      </c>
      <c r="G56" s="1">
        <v>45175</v>
      </c>
      <c r="H56">
        <f t="shared" si="0"/>
        <v>2023</v>
      </c>
      <c r="I56" s="3" t="str">
        <f t="shared" si="1"/>
        <v>Sep-2023</v>
      </c>
      <c r="J56">
        <f t="shared" si="2"/>
        <v>36</v>
      </c>
      <c r="K56" t="s">
        <v>9</v>
      </c>
      <c r="L56" t="s">
        <v>139</v>
      </c>
    </row>
    <row r="57" spans="1:12" x14ac:dyDescent="0.35">
      <c r="A57" t="s">
        <v>140</v>
      </c>
      <c r="B57" t="s">
        <v>37</v>
      </c>
      <c r="C57" t="s">
        <v>90</v>
      </c>
      <c r="D57">
        <v>1</v>
      </c>
      <c r="E57">
        <v>168485.59</v>
      </c>
      <c r="F57">
        <v>168485.59</v>
      </c>
      <c r="G57" s="1">
        <v>45215</v>
      </c>
      <c r="H57">
        <f t="shared" si="0"/>
        <v>2023</v>
      </c>
      <c r="I57" s="3" t="str">
        <f t="shared" si="1"/>
        <v>Oct-2023</v>
      </c>
      <c r="J57">
        <f t="shared" si="2"/>
        <v>42</v>
      </c>
      <c r="K57" t="s">
        <v>47</v>
      </c>
      <c r="L57" t="s">
        <v>141</v>
      </c>
    </row>
    <row r="58" spans="1:12" x14ac:dyDescent="0.35">
      <c r="A58" t="s">
        <v>142</v>
      </c>
      <c r="B58" t="s">
        <v>45</v>
      </c>
      <c r="C58" t="s">
        <v>70</v>
      </c>
      <c r="D58">
        <v>1</v>
      </c>
      <c r="E58">
        <v>299437.8</v>
      </c>
      <c r="F58">
        <v>299437.8</v>
      </c>
      <c r="G58" s="1">
        <v>45364</v>
      </c>
      <c r="H58">
        <f t="shared" si="0"/>
        <v>2024</v>
      </c>
      <c r="I58" s="3" t="str">
        <f t="shared" si="1"/>
        <v>Mar-2024</v>
      </c>
      <c r="J58">
        <f t="shared" si="2"/>
        <v>11</v>
      </c>
      <c r="K58" t="s">
        <v>47</v>
      </c>
      <c r="L58" t="s">
        <v>1103</v>
      </c>
    </row>
    <row r="59" spans="1:12" x14ac:dyDescent="0.35">
      <c r="A59" t="s">
        <v>143</v>
      </c>
      <c r="B59" t="s">
        <v>20</v>
      </c>
      <c r="C59" t="s">
        <v>90</v>
      </c>
      <c r="D59">
        <v>1</v>
      </c>
      <c r="E59">
        <v>143772.10999999999</v>
      </c>
      <c r="F59">
        <v>143772.10999999999</v>
      </c>
      <c r="G59" s="1">
        <v>45616</v>
      </c>
      <c r="H59">
        <f t="shared" si="0"/>
        <v>2024</v>
      </c>
      <c r="I59" s="3" t="str">
        <f t="shared" si="1"/>
        <v>Nov-2024</v>
      </c>
      <c r="J59">
        <f t="shared" si="2"/>
        <v>47</v>
      </c>
      <c r="K59" t="s">
        <v>13</v>
      </c>
      <c r="L59" s="2" t="s">
        <v>144</v>
      </c>
    </row>
    <row r="60" spans="1:12" x14ac:dyDescent="0.35">
      <c r="A60" t="s">
        <v>145</v>
      </c>
      <c r="B60" t="s">
        <v>131</v>
      </c>
      <c r="C60" t="s">
        <v>46</v>
      </c>
      <c r="D60">
        <v>1</v>
      </c>
      <c r="E60">
        <v>113359.02</v>
      </c>
      <c r="F60">
        <v>113359.02</v>
      </c>
      <c r="G60" s="1">
        <v>45175</v>
      </c>
      <c r="H60">
        <f t="shared" si="0"/>
        <v>2023</v>
      </c>
      <c r="I60" s="3" t="str">
        <f t="shared" si="1"/>
        <v>Sep-2023</v>
      </c>
      <c r="J60">
        <f t="shared" si="2"/>
        <v>36</v>
      </c>
      <c r="K60" t="s">
        <v>28</v>
      </c>
      <c r="L60" t="s">
        <v>146</v>
      </c>
    </row>
    <row r="61" spans="1:12" x14ac:dyDescent="0.35">
      <c r="A61" t="s">
        <v>147</v>
      </c>
      <c r="B61" t="s">
        <v>37</v>
      </c>
      <c r="C61" t="s">
        <v>70</v>
      </c>
      <c r="D61">
        <v>1</v>
      </c>
      <c r="E61">
        <v>287027.3</v>
      </c>
      <c r="F61">
        <v>287027.3</v>
      </c>
      <c r="G61" s="1">
        <v>45467</v>
      </c>
      <c r="H61">
        <f t="shared" si="0"/>
        <v>2024</v>
      </c>
      <c r="I61" s="3" t="str">
        <f t="shared" si="1"/>
        <v>Jun-2024</v>
      </c>
      <c r="J61">
        <f t="shared" si="2"/>
        <v>26</v>
      </c>
      <c r="K61" t="s">
        <v>9</v>
      </c>
      <c r="L61" t="s">
        <v>148</v>
      </c>
    </row>
    <row r="62" spans="1:12" x14ac:dyDescent="0.35">
      <c r="A62" t="s">
        <v>149</v>
      </c>
      <c r="B62" t="s">
        <v>20</v>
      </c>
      <c r="C62" t="s">
        <v>12</v>
      </c>
      <c r="D62">
        <v>1</v>
      </c>
      <c r="E62">
        <v>0</v>
      </c>
      <c r="F62">
        <v>0</v>
      </c>
      <c r="G62" s="1">
        <v>45479</v>
      </c>
      <c r="H62">
        <f t="shared" si="0"/>
        <v>2024</v>
      </c>
      <c r="I62" s="3" t="str">
        <f t="shared" si="1"/>
        <v>Jul-2024</v>
      </c>
      <c r="J62">
        <f t="shared" si="2"/>
        <v>27</v>
      </c>
      <c r="K62" t="s">
        <v>13</v>
      </c>
      <c r="L62" t="s">
        <v>150</v>
      </c>
    </row>
    <row r="63" spans="1:12" x14ac:dyDescent="0.35">
      <c r="A63" t="s">
        <v>151</v>
      </c>
      <c r="B63" t="s">
        <v>31</v>
      </c>
      <c r="C63" t="s">
        <v>17</v>
      </c>
      <c r="D63">
        <v>93</v>
      </c>
      <c r="E63">
        <v>138169.23000000001</v>
      </c>
      <c r="F63">
        <v>12849738.390000001</v>
      </c>
      <c r="G63" s="1">
        <v>45646</v>
      </c>
      <c r="H63">
        <f t="shared" si="0"/>
        <v>2024</v>
      </c>
      <c r="I63" s="3" t="str">
        <f t="shared" si="1"/>
        <v>Dec-2024</v>
      </c>
      <c r="J63">
        <f t="shared" si="2"/>
        <v>51</v>
      </c>
      <c r="K63" t="s">
        <v>28</v>
      </c>
      <c r="L63" t="s">
        <v>152</v>
      </c>
    </row>
    <row r="64" spans="1:12" x14ac:dyDescent="0.35">
      <c r="A64" t="s">
        <v>153</v>
      </c>
      <c r="B64" t="s">
        <v>105</v>
      </c>
      <c r="C64" t="s">
        <v>12</v>
      </c>
      <c r="D64">
        <v>1</v>
      </c>
      <c r="E64">
        <v>160171.56</v>
      </c>
      <c r="F64">
        <v>160171.56</v>
      </c>
      <c r="G64" s="1">
        <v>45519</v>
      </c>
      <c r="H64">
        <f t="shared" si="0"/>
        <v>2024</v>
      </c>
      <c r="I64" s="3" t="str">
        <f t="shared" si="1"/>
        <v>Aug-2024</v>
      </c>
      <c r="J64">
        <f t="shared" si="2"/>
        <v>33</v>
      </c>
      <c r="K64" t="s">
        <v>28</v>
      </c>
      <c r="L64" t="s">
        <v>154</v>
      </c>
    </row>
    <row r="65" spans="1:12" x14ac:dyDescent="0.35">
      <c r="A65" t="s">
        <v>155</v>
      </c>
      <c r="B65" t="s">
        <v>16</v>
      </c>
      <c r="C65" t="s">
        <v>90</v>
      </c>
      <c r="D65">
        <v>1</v>
      </c>
      <c r="E65">
        <v>164108.82999999999</v>
      </c>
      <c r="F65">
        <v>164108.82999999999</v>
      </c>
      <c r="G65" s="1">
        <v>45385</v>
      </c>
      <c r="H65">
        <f t="shared" si="0"/>
        <v>2024</v>
      </c>
      <c r="I65" s="3" t="str">
        <f t="shared" si="1"/>
        <v>Apr-2024</v>
      </c>
      <c r="J65">
        <f t="shared" si="2"/>
        <v>14</v>
      </c>
      <c r="K65" t="s">
        <v>9</v>
      </c>
      <c r="L65" t="s">
        <v>156</v>
      </c>
    </row>
    <row r="66" spans="1:12" x14ac:dyDescent="0.35">
      <c r="A66" t="s">
        <v>157</v>
      </c>
      <c r="B66" t="s">
        <v>76</v>
      </c>
      <c r="C66" t="s">
        <v>23</v>
      </c>
      <c r="D66">
        <v>1</v>
      </c>
      <c r="E66">
        <v>202922.64</v>
      </c>
      <c r="F66">
        <v>202922.64</v>
      </c>
      <c r="G66" s="1">
        <v>45217</v>
      </c>
      <c r="H66">
        <f t="shared" si="0"/>
        <v>2023</v>
      </c>
      <c r="I66" s="3" t="str">
        <f t="shared" si="1"/>
        <v>Oct-2023</v>
      </c>
      <c r="J66">
        <f t="shared" si="2"/>
        <v>42</v>
      </c>
      <c r="K66" t="s">
        <v>47</v>
      </c>
      <c r="L66" t="s">
        <v>158</v>
      </c>
    </row>
    <row r="67" spans="1:12" x14ac:dyDescent="0.35">
      <c r="A67" t="s">
        <v>1047</v>
      </c>
      <c r="B67" t="s">
        <v>109</v>
      </c>
      <c r="C67" t="s">
        <v>70</v>
      </c>
      <c r="D67">
        <v>1</v>
      </c>
      <c r="E67">
        <v>260362.49</v>
      </c>
      <c r="F67">
        <v>260362.49</v>
      </c>
      <c r="G67" s="1">
        <v>45799</v>
      </c>
      <c r="H67">
        <f t="shared" ref="H67:H130" si="3">YEAR(G67)</f>
        <v>2025</v>
      </c>
      <c r="I67" s="3" t="str">
        <f t="shared" ref="I67:I130" si="4">TEXT(G67,"mmm-yyyy")</f>
        <v>May-2025</v>
      </c>
      <c r="J67">
        <f t="shared" ref="J67:J130" si="5">WEEKNUM(G67)</f>
        <v>21</v>
      </c>
      <c r="K67" t="s">
        <v>47</v>
      </c>
      <c r="L67" t="s">
        <v>159</v>
      </c>
    </row>
    <row r="68" spans="1:12" x14ac:dyDescent="0.35">
      <c r="A68" t="s">
        <v>160</v>
      </c>
      <c r="B68" t="s">
        <v>85</v>
      </c>
      <c r="C68" t="s">
        <v>55</v>
      </c>
      <c r="D68">
        <v>94</v>
      </c>
      <c r="E68">
        <v>204383.39</v>
      </c>
      <c r="F68">
        <v>19212038.66</v>
      </c>
      <c r="G68" s="1">
        <v>45761</v>
      </c>
      <c r="H68">
        <f t="shared" si="3"/>
        <v>2025</v>
      </c>
      <c r="I68" s="3" t="str">
        <f t="shared" si="4"/>
        <v>Apr-2025</v>
      </c>
      <c r="J68">
        <f t="shared" si="5"/>
        <v>16</v>
      </c>
      <c r="K68" t="s">
        <v>47</v>
      </c>
      <c r="L68" t="s">
        <v>161</v>
      </c>
    </row>
    <row r="69" spans="1:12" x14ac:dyDescent="0.35">
      <c r="A69" t="s">
        <v>162</v>
      </c>
      <c r="B69" t="s">
        <v>109</v>
      </c>
      <c r="C69" t="s">
        <v>27</v>
      </c>
      <c r="D69">
        <v>1</v>
      </c>
      <c r="E69">
        <v>241193.93</v>
      </c>
      <c r="F69">
        <v>241193.93</v>
      </c>
      <c r="G69" s="1">
        <v>45724</v>
      </c>
      <c r="H69">
        <f t="shared" si="3"/>
        <v>2025</v>
      </c>
      <c r="I69" s="3" t="str">
        <f t="shared" si="4"/>
        <v>Mar-2025</v>
      </c>
      <c r="J69">
        <f t="shared" si="5"/>
        <v>10</v>
      </c>
      <c r="K69" t="s">
        <v>47</v>
      </c>
      <c r="L69" t="s">
        <v>163</v>
      </c>
    </row>
    <row r="70" spans="1:12" x14ac:dyDescent="0.35">
      <c r="A70" t="s">
        <v>164</v>
      </c>
      <c r="B70" t="s">
        <v>109</v>
      </c>
      <c r="C70" t="s">
        <v>17</v>
      </c>
      <c r="D70">
        <v>1</v>
      </c>
      <c r="E70">
        <v>79676.47</v>
      </c>
      <c r="F70">
        <v>79676.47</v>
      </c>
      <c r="G70" s="1">
        <v>45546</v>
      </c>
      <c r="H70">
        <f t="shared" si="3"/>
        <v>2024</v>
      </c>
      <c r="I70" s="3" t="str">
        <f t="shared" si="4"/>
        <v>Sep-2024</v>
      </c>
      <c r="J70">
        <f t="shared" si="5"/>
        <v>37</v>
      </c>
      <c r="K70" t="s">
        <v>47</v>
      </c>
      <c r="L70" t="s">
        <v>165</v>
      </c>
    </row>
    <row r="71" spans="1:12" x14ac:dyDescent="0.35">
      <c r="A71" t="s">
        <v>166</v>
      </c>
      <c r="B71" t="s">
        <v>53</v>
      </c>
      <c r="C71" t="s">
        <v>55</v>
      </c>
      <c r="D71">
        <v>1</v>
      </c>
      <c r="E71">
        <v>145511.94</v>
      </c>
      <c r="F71">
        <v>145511.94</v>
      </c>
      <c r="G71" s="1">
        <v>45614</v>
      </c>
      <c r="H71">
        <f t="shared" si="3"/>
        <v>2024</v>
      </c>
      <c r="I71" s="3" t="str">
        <f t="shared" si="4"/>
        <v>Nov-2024</v>
      </c>
      <c r="J71">
        <f t="shared" si="5"/>
        <v>47</v>
      </c>
      <c r="K71" t="s">
        <v>28</v>
      </c>
      <c r="L71" t="s">
        <v>167</v>
      </c>
    </row>
    <row r="72" spans="1:12" x14ac:dyDescent="0.35">
      <c r="A72" t="s">
        <v>168</v>
      </c>
      <c r="B72" t="s">
        <v>16</v>
      </c>
      <c r="C72" t="s">
        <v>55</v>
      </c>
      <c r="D72">
        <v>1</v>
      </c>
      <c r="E72">
        <v>0</v>
      </c>
      <c r="F72">
        <v>0</v>
      </c>
      <c r="G72" s="1">
        <v>45574</v>
      </c>
      <c r="H72">
        <f t="shared" si="3"/>
        <v>2024</v>
      </c>
      <c r="I72" s="3" t="str">
        <f t="shared" si="4"/>
        <v>Oct-2024</v>
      </c>
      <c r="J72">
        <f t="shared" si="5"/>
        <v>41</v>
      </c>
      <c r="K72" t="s">
        <v>47</v>
      </c>
      <c r="L72" t="s">
        <v>1104</v>
      </c>
    </row>
    <row r="73" spans="1:12" x14ac:dyDescent="0.35">
      <c r="A73" t="s">
        <v>169</v>
      </c>
      <c r="B73" t="s">
        <v>37</v>
      </c>
      <c r="C73" t="s">
        <v>70</v>
      </c>
      <c r="D73">
        <v>61</v>
      </c>
      <c r="E73">
        <v>287222.55</v>
      </c>
      <c r="F73">
        <v>17520575.550000001</v>
      </c>
      <c r="G73" s="1">
        <v>45259</v>
      </c>
      <c r="H73">
        <f t="shared" si="3"/>
        <v>2023</v>
      </c>
      <c r="I73" s="3" t="str">
        <f t="shared" si="4"/>
        <v>Nov-2023</v>
      </c>
      <c r="J73">
        <f t="shared" si="5"/>
        <v>48</v>
      </c>
      <c r="K73" t="s">
        <v>47</v>
      </c>
      <c r="L73" t="s">
        <v>170</v>
      </c>
    </row>
    <row r="74" spans="1:12" x14ac:dyDescent="0.35">
      <c r="A74" t="s">
        <v>171</v>
      </c>
      <c r="B74" t="s">
        <v>61</v>
      </c>
      <c r="C74" t="s">
        <v>23</v>
      </c>
      <c r="D74">
        <v>12</v>
      </c>
      <c r="E74">
        <v>84062.42</v>
      </c>
      <c r="F74">
        <v>1008749.04</v>
      </c>
      <c r="G74" s="1">
        <v>45714</v>
      </c>
      <c r="H74">
        <f t="shared" si="3"/>
        <v>2025</v>
      </c>
      <c r="I74" s="3" t="str">
        <f t="shared" si="4"/>
        <v>Feb-2025</v>
      </c>
      <c r="J74">
        <f t="shared" si="5"/>
        <v>9</v>
      </c>
      <c r="K74" t="s">
        <v>13</v>
      </c>
      <c r="L74" t="s">
        <v>172</v>
      </c>
    </row>
    <row r="75" spans="1:12" x14ac:dyDescent="0.35">
      <c r="A75" t="s">
        <v>173</v>
      </c>
      <c r="B75" t="s">
        <v>85</v>
      </c>
      <c r="C75" t="s">
        <v>70</v>
      </c>
      <c r="D75">
        <v>1</v>
      </c>
      <c r="E75">
        <v>89900.5</v>
      </c>
      <c r="F75">
        <v>89900.5</v>
      </c>
      <c r="G75" s="1">
        <v>45218</v>
      </c>
      <c r="H75">
        <f t="shared" si="3"/>
        <v>2023</v>
      </c>
      <c r="I75" s="3" t="str">
        <f t="shared" si="4"/>
        <v>Oct-2023</v>
      </c>
      <c r="J75">
        <f t="shared" si="5"/>
        <v>42</v>
      </c>
      <c r="K75" t="s">
        <v>13</v>
      </c>
      <c r="L75" t="s">
        <v>174</v>
      </c>
    </row>
    <row r="76" spans="1:12" x14ac:dyDescent="0.35">
      <c r="A76" t="s">
        <v>175</v>
      </c>
      <c r="B76" t="s">
        <v>34</v>
      </c>
      <c r="C76" t="s">
        <v>23</v>
      </c>
      <c r="D76">
        <v>1</v>
      </c>
      <c r="E76">
        <v>282474.92</v>
      </c>
      <c r="F76">
        <v>282474.92</v>
      </c>
      <c r="G76" s="1">
        <v>45454</v>
      </c>
      <c r="H76">
        <f t="shared" si="3"/>
        <v>2024</v>
      </c>
      <c r="I76" s="3" t="str">
        <f t="shared" si="4"/>
        <v>Jun-2024</v>
      </c>
      <c r="J76">
        <f t="shared" si="5"/>
        <v>24</v>
      </c>
      <c r="K76" t="s">
        <v>13</v>
      </c>
      <c r="L76" t="s">
        <v>176</v>
      </c>
    </row>
    <row r="77" spans="1:12" x14ac:dyDescent="0.35">
      <c r="A77" t="s">
        <v>177</v>
      </c>
      <c r="B77" t="s">
        <v>20</v>
      </c>
      <c r="C77" t="s">
        <v>46</v>
      </c>
      <c r="D77">
        <v>1</v>
      </c>
      <c r="E77">
        <v>294686.96000000002</v>
      </c>
      <c r="F77">
        <v>294686.96000000002</v>
      </c>
      <c r="G77" s="1">
        <v>45508</v>
      </c>
      <c r="H77">
        <f t="shared" si="3"/>
        <v>2024</v>
      </c>
      <c r="I77" s="3" t="str">
        <f t="shared" si="4"/>
        <v>Aug-2024</v>
      </c>
      <c r="J77">
        <f t="shared" si="5"/>
        <v>32</v>
      </c>
      <c r="K77" t="s">
        <v>28</v>
      </c>
      <c r="L77" t="s">
        <v>178</v>
      </c>
    </row>
    <row r="78" spans="1:12" x14ac:dyDescent="0.35">
      <c r="A78" t="s">
        <v>179</v>
      </c>
      <c r="B78" t="s">
        <v>85</v>
      </c>
      <c r="C78" t="s">
        <v>17</v>
      </c>
      <c r="D78">
        <v>1</v>
      </c>
      <c r="E78">
        <v>231466.69</v>
      </c>
      <c r="F78">
        <v>231466.69</v>
      </c>
      <c r="G78" s="1">
        <v>45825</v>
      </c>
      <c r="H78">
        <f t="shared" si="3"/>
        <v>2025</v>
      </c>
      <c r="I78" s="3" t="str">
        <f t="shared" si="4"/>
        <v>Jun-2025</v>
      </c>
      <c r="J78">
        <f t="shared" si="5"/>
        <v>25</v>
      </c>
      <c r="K78" t="s">
        <v>47</v>
      </c>
      <c r="L78" t="s">
        <v>180</v>
      </c>
    </row>
    <row r="79" spans="1:12" x14ac:dyDescent="0.35">
      <c r="A79" t="s">
        <v>181</v>
      </c>
      <c r="B79" t="s">
        <v>76</v>
      </c>
      <c r="C79" t="s">
        <v>90</v>
      </c>
      <c r="D79">
        <v>1</v>
      </c>
      <c r="E79">
        <v>211617.83</v>
      </c>
      <c r="F79">
        <v>211617.83</v>
      </c>
      <c r="G79" s="1">
        <v>45792</v>
      </c>
      <c r="H79">
        <f t="shared" si="3"/>
        <v>2025</v>
      </c>
      <c r="I79" s="3" t="str">
        <f t="shared" si="4"/>
        <v>May-2025</v>
      </c>
      <c r="J79">
        <f t="shared" si="5"/>
        <v>20</v>
      </c>
      <c r="K79" t="s">
        <v>9</v>
      </c>
      <c r="L79" t="s">
        <v>182</v>
      </c>
    </row>
    <row r="80" spans="1:12" x14ac:dyDescent="0.35">
      <c r="A80" t="s">
        <v>1047</v>
      </c>
      <c r="B80" t="s">
        <v>105</v>
      </c>
      <c r="C80" t="s">
        <v>90</v>
      </c>
      <c r="D80">
        <v>1</v>
      </c>
      <c r="E80">
        <v>207226.85</v>
      </c>
      <c r="F80">
        <v>207226.85</v>
      </c>
      <c r="G80" s="1">
        <v>45161</v>
      </c>
      <c r="H80">
        <f t="shared" si="3"/>
        <v>2023</v>
      </c>
      <c r="I80" s="3" t="str">
        <f t="shared" si="4"/>
        <v>Aug-2023</v>
      </c>
      <c r="J80">
        <f t="shared" si="5"/>
        <v>34</v>
      </c>
      <c r="K80" t="s">
        <v>47</v>
      </c>
      <c r="L80" t="s">
        <v>183</v>
      </c>
    </row>
    <row r="81" spans="1:12" x14ac:dyDescent="0.35">
      <c r="A81" t="s">
        <v>184</v>
      </c>
      <c r="B81" t="s">
        <v>16</v>
      </c>
      <c r="C81" t="s">
        <v>55</v>
      </c>
      <c r="D81">
        <v>1</v>
      </c>
      <c r="E81">
        <v>146956.42000000001</v>
      </c>
      <c r="F81">
        <v>146956.42000000001</v>
      </c>
      <c r="G81" s="1">
        <v>45763</v>
      </c>
      <c r="H81">
        <f t="shared" si="3"/>
        <v>2025</v>
      </c>
      <c r="I81" s="3" t="str">
        <f t="shared" si="4"/>
        <v>Apr-2025</v>
      </c>
      <c r="J81">
        <f t="shared" si="5"/>
        <v>16</v>
      </c>
      <c r="K81" t="s">
        <v>28</v>
      </c>
      <c r="L81" t="s">
        <v>185</v>
      </c>
    </row>
    <row r="82" spans="1:12" x14ac:dyDescent="0.35">
      <c r="A82" t="s">
        <v>186</v>
      </c>
      <c r="B82" t="s">
        <v>34</v>
      </c>
      <c r="C82" t="s">
        <v>27</v>
      </c>
      <c r="D82">
        <v>1</v>
      </c>
      <c r="E82">
        <v>0</v>
      </c>
      <c r="F82">
        <v>0</v>
      </c>
      <c r="G82" s="1">
        <v>45214</v>
      </c>
      <c r="H82">
        <f t="shared" si="3"/>
        <v>2023</v>
      </c>
      <c r="I82" s="3" t="str">
        <f t="shared" si="4"/>
        <v>Oct-2023</v>
      </c>
      <c r="J82">
        <f t="shared" si="5"/>
        <v>42</v>
      </c>
      <c r="K82" t="s">
        <v>13</v>
      </c>
      <c r="L82" t="s">
        <v>187</v>
      </c>
    </row>
    <row r="83" spans="1:12" x14ac:dyDescent="0.35">
      <c r="A83" t="s">
        <v>188</v>
      </c>
      <c r="B83" t="s">
        <v>20</v>
      </c>
      <c r="C83" t="s">
        <v>46</v>
      </c>
      <c r="D83">
        <v>1</v>
      </c>
      <c r="E83">
        <v>144201.13</v>
      </c>
      <c r="F83">
        <v>144201.13</v>
      </c>
      <c r="G83" s="1">
        <v>45520</v>
      </c>
      <c r="H83">
        <f t="shared" si="3"/>
        <v>2024</v>
      </c>
      <c r="I83" s="3" t="str">
        <f t="shared" si="4"/>
        <v>Aug-2024</v>
      </c>
      <c r="J83">
        <f t="shared" si="5"/>
        <v>33</v>
      </c>
      <c r="K83" t="s">
        <v>28</v>
      </c>
      <c r="L83" t="s">
        <v>189</v>
      </c>
    </row>
    <row r="84" spans="1:12" x14ac:dyDescent="0.35">
      <c r="A84" t="s">
        <v>190</v>
      </c>
      <c r="B84" t="s">
        <v>89</v>
      </c>
      <c r="C84" t="s">
        <v>90</v>
      </c>
      <c r="D84">
        <v>1</v>
      </c>
      <c r="E84">
        <v>168366.03</v>
      </c>
      <c r="F84">
        <v>168366.03</v>
      </c>
      <c r="G84" s="1">
        <v>45236</v>
      </c>
      <c r="H84">
        <f t="shared" si="3"/>
        <v>2023</v>
      </c>
      <c r="I84" s="3" t="str">
        <f t="shared" si="4"/>
        <v>Nov-2023</v>
      </c>
      <c r="J84">
        <f t="shared" si="5"/>
        <v>45</v>
      </c>
      <c r="K84" t="s">
        <v>13</v>
      </c>
      <c r="L84" t="s">
        <v>191</v>
      </c>
    </row>
    <row r="85" spans="1:12" x14ac:dyDescent="0.35">
      <c r="A85" t="s">
        <v>192</v>
      </c>
      <c r="B85" t="s">
        <v>45</v>
      </c>
      <c r="C85" t="s">
        <v>90</v>
      </c>
      <c r="D85">
        <v>93</v>
      </c>
      <c r="E85">
        <v>280378.37</v>
      </c>
      <c r="F85">
        <v>26075188.41</v>
      </c>
      <c r="G85" s="1">
        <v>45354</v>
      </c>
      <c r="H85">
        <f t="shared" si="3"/>
        <v>2024</v>
      </c>
      <c r="I85" s="3" t="str">
        <f t="shared" si="4"/>
        <v>Mar-2024</v>
      </c>
      <c r="J85">
        <f t="shared" si="5"/>
        <v>10</v>
      </c>
      <c r="K85" t="s">
        <v>28</v>
      </c>
      <c r="L85" t="s">
        <v>193</v>
      </c>
    </row>
    <row r="86" spans="1:12" x14ac:dyDescent="0.35">
      <c r="A86" t="s">
        <v>194</v>
      </c>
      <c r="B86" t="s">
        <v>20</v>
      </c>
      <c r="C86" t="s">
        <v>27</v>
      </c>
      <c r="D86">
        <v>1</v>
      </c>
      <c r="E86">
        <v>216638.48</v>
      </c>
      <c r="F86">
        <v>216638.48</v>
      </c>
      <c r="G86" s="1">
        <v>45245</v>
      </c>
      <c r="H86">
        <f t="shared" si="3"/>
        <v>2023</v>
      </c>
      <c r="I86" s="3" t="str">
        <f t="shared" si="4"/>
        <v>Nov-2023</v>
      </c>
      <c r="J86">
        <f t="shared" si="5"/>
        <v>46</v>
      </c>
      <c r="K86" t="s">
        <v>9</v>
      </c>
      <c r="L86" t="s">
        <v>1105</v>
      </c>
    </row>
    <row r="87" spans="1:12" x14ac:dyDescent="0.35">
      <c r="A87" t="s">
        <v>195</v>
      </c>
      <c r="B87" t="s">
        <v>45</v>
      </c>
      <c r="C87" t="s">
        <v>27</v>
      </c>
      <c r="D87">
        <v>1</v>
      </c>
      <c r="E87">
        <v>86692.92</v>
      </c>
      <c r="F87">
        <v>86692.92</v>
      </c>
      <c r="G87" s="1">
        <v>45243</v>
      </c>
      <c r="H87">
        <f t="shared" si="3"/>
        <v>2023</v>
      </c>
      <c r="I87" s="3" t="str">
        <f t="shared" si="4"/>
        <v>Nov-2023</v>
      </c>
      <c r="J87">
        <f t="shared" si="5"/>
        <v>46</v>
      </c>
      <c r="K87" t="s">
        <v>13</v>
      </c>
      <c r="L87" t="s">
        <v>196</v>
      </c>
    </row>
    <row r="88" spans="1:12" x14ac:dyDescent="0.35">
      <c r="A88" t="s">
        <v>197</v>
      </c>
      <c r="B88" t="s">
        <v>89</v>
      </c>
      <c r="C88" t="s">
        <v>90</v>
      </c>
      <c r="D88">
        <v>1</v>
      </c>
      <c r="E88">
        <v>172256.3</v>
      </c>
      <c r="F88">
        <v>172256.3</v>
      </c>
      <c r="G88" s="1">
        <v>45368</v>
      </c>
      <c r="H88">
        <f t="shared" si="3"/>
        <v>2024</v>
      </c>
      <c r="I88" s="3" t="str">
        <f t="shared" si="4"/>
        <v>Mar-2024</v>
      </c>
      <c r="J88">
        <f t="shared" si="5"/>
        <v>12</v>
      </c>
      <c r="K88" t="s">
        <v>13</v>
      </c>
      <c r="L88" t="s">
        <v>198</v>
      </c>
    </row>
    <row r="89" spans="1:12" x14ac:dyDescent="0.35">
      <c r="A89" t="s">
        <v>199</v>
      </c>
      <c r="B89" t="s">
        <v>105</v>
      </c>
      <c r="C89" t="s">
        <v>12</v>
      </c>
      <c r="D89">
        <v>65</v>
      </c>
      <c r="E89">
        <v>163185.67000000001</v>
      </c>
      <c r="F89">
        <v>10607068.550000001</v>
      </c>
      <c r="G89" s="1">
        <v>45844</v>
      </c>
      <c r="H89">
        <f t="shared" si="3"/>
        <v>2025</v>
      </c>
      <c r="I89" s="3" t="str">
        <f t="shared" si="4"/>
        <v>Jul-2025</v>
      </c>
      <c r="J89">
        <f t="shared" si="5"/>
        <v>28</v>
      </c>
      <c r="K89" t="s">
        <v>47</v>
      </c>
      <c r="L89" t="s">
        <v>200</v>
      </c>
    </row>
    <row r="90" spans="1:12" x14ac:dyDescent="0.35">
      <c r="A90" t="s">
        <v>201</v>
      </c>
      <c r="B90" t="s">
        <v>16</v>
      </c>
      <c r="C90" t="s">
        <v>27</v>
      </c>
      <c r="D90">
        <v>1</v>
      </c>
      <c r="E90">
        <v>268780.26</v>
      </c>
      <c r="F90">
        <v>268780.26</v>
      </c>
      <c r="G90" s="1">
        <v>45668</v>
      </c>
      <c r="H90">
        <f t="shared" si="3"/>
        <v>2025</v>
      </c>
      <c r="I90" s="3" t="str">
        <f t="shared" si="4"/>
        <v>Jan-2025</v>
      </c>
      <c r="J90">
        <f t="shared" si="5"/>
        <v>2</v>
      </c>
      <c r="K90" t="s">
        <v>28</v>
      </c>
      <c r="L90" t="s">
        <v>202</v>
      </c>
    </row>
    <row r="91" spans="1:12" x14ac:dyDescent="0.35">
      <c r="A91" t="s">
        <v>203</v>
      </c>
      <c r="B91" t="s">
        <v>37</v>
      </c>
      <c r="C91" t="s">
        <v>12</v>
      </c>
      <c r="D91">
        <v>62</v>
      </c>
      <c r="E91">
        <v>118662.47</v>
      </c>
      <c r="F91">
        <v>7357073.1399999997</v>
      </c>
      <c r="G91" s="1">
        <v>45293</v>
      </c>
      <c r="H91">
        <f t="shared" si="3"/>
        <v>2024</v>
      </c>
      <c r="I91" s="3" t="str">
        <f t="shared" si="4"/>
        <v>Jan-2024</v>
      </c>
      <c r="J91">
        <f t="shared" si="5"/>
        <v>1</v>
      </c>
      <c r="K91" t="s">
        <v>47</v>
      </c>
      <c r="L91" t="s">
        <v>204</v>
      </c>
    </row>
    <row r="92" spans="1:12" x14ac:dyDescent="0.35">
      <c r="A92" t="s">
        <v>205</v>
      </c>
      <c r="B92" t="s">
        <v>53</v>
      </c>
      <c r="C92" t="s">
        <v>17</v>
      </c>
      <c r="D92">
        <v>1</v>
      </c>
      <c r="E92">
        <v>0</v>
      </c>
      <c r="F92">
        <v>0</v>
      </c>
      <c r="G92" s="1">
        <v>45386</v>
      </c>
      <c r="H92">
        <f t="shared" si="3"/>
        <v>2024</v>
      </c>
      <c r="I92" s="3" t="str">
        <f t="shared" si="4"/>
        <v>Apr-2024</v>
      </c>
      <c r="J92">
        <f t="shared" si="5"/>
        <v>14</v>
      </c>
      <c r="K92" t="s">
        <v>47</v>
      </c>
      <c r="L92" t="s">
        <v>206</v>
      </c>
    </row>
    <row r="93" spans="1:12" x14ac:dyDescent="0.35">
      <c r="A93" t="s">
        <v>1047</v>
      </c>
      <c r="B93" t="s">
        <v>79</v>
      </c>
      <c r="C93" t="s">
        <v>46</v>
      </c>
      <c r="D93">
        <v>1</v>
      </c>
      <c r="E93">
        <v>103867.84</v>
      </c>
      <c r="F93">
        <v>103867.84</v>
      </c>
      <c r="G93" s="1">
        <v>45848</v>
      </c>
      <c r="H93">
        <f t="shared" si="3"/>
        <v>2025</v>
      </c>
      <c r="I93" s="3" t="str">
        <f t="shared" si="4"/>
        <v>Jul-2025</v>
      </c>
      <c r="J93">
        <f t="shared" si="5"/>
        <v>28</v>
      </c>
      <c r="K93" t="s">
        <v>47</v>
      </c>
      <c r="L93" s="2" t="s">
        <v>207</v>
      </c>
    </row>
    <row r="94" spans="1:12" x14ac:dyDescent="0.35">
      <c r="A94" t="s">
        <v>208</v>
      </c>
      <c r="B94" t="s">
        <v>89</v>
      </c>
      <c r="C94" t="s">
        <v>27</v>
      </c>
      <c r="D94">
        <v>1</v>
      </c>
      <c r="E94">
        <v>232032.77</v>
      </c>
      <c r="F94">
        <v>232032.77</v>
      </c>
      <c r="G94" s="1">
        <v>45521</v>
      </c>
      <c r="H94">
        <f t="shared" si="3"/>
        <v>2024</v>
      </c>
      <c r="I94" s="3" t="str">
        <f t="shared" si="4"/>
        <v>Aug-2024</v>
      </c>
      <c r="J94">
        <f t="shared" si="5"/>
        <v>33</v>
      </c>
      <c r="K94" t="s">
        <v>28</v>
      </c>
      <c r="L94" t="s">
        <v>209</v>
      </c>
    </row>
    <row r="95" spans="1:12" x14ac:dyDescent="0.35">
      <c r="A95" t="s">
        <v>210</v>
      </c>
      <c r="B95" t="s">
        <v>53</v>
      </c>
      <c r="C95" t="s">
        <v>17</v>
      </c>
      <c r="D95">
        <v>74</v>
      </c>
      <c r="E95">
        <v>44369.599999999999</v>
      </c>
      <c r="F95">
        <v>3283350.4</v>
      </c>
      <c r="G95" s="1">
        <v>45813</v>
      </c>
      <c r="H95">
        <f t="shared" si="3"/>
        <v>2025</v>
      </c>
      <c r="I95" s="3" t="str">
        <f t="shared" si="4"/>
        <v>Jun-2025</v>
      </c>
      <c r="J95">
        <f t="shared" si="5"/>
        <v>23</v>
      </c>
      <c r="K95" t="s">
        <v>9</v>
      </c>
      <c r="L95" t="s">
        <v>211</v>
      </c>
    </row>
    <row r="96" spans="1:12" x14ac:dyDescent="0.35">
      <c r="A96" t="s">
        <v>212</v>
      </c>
      <c r="B96" t="s">
        <v>213</v>
      </c>
      <c r="C96" t="s">
        <v>23</v>
      </c>
      <c r="D96">
        <v>1</v>
      </c>
      <c r="E96">
        <v>13098.91</v>
      </c>
      <c r="F96">
        <v>13098.91</v>
      </c>
      <c r="G96" s="1">
        <v>45338</v>
      </c>
      <c r="H96">
        <f t="shared" si="3"/>
        <v>2024</v>
      </c>
      <c r="I96" s="3" t="str">
        <f t="shared" si="4"/>
        <v>Feb-2024</v>
      </c>
      <c r="J96">
        <f t="shared" si="5"/>
        <v>7</v>
      </c>
      <c r="K96" t="s">
        <v>47</v>
      </c>
      <c r="L96" t="s">
        <v>214</v>
      </c>
    </row>
    <row r="97" spans="1:12" x14ac:dyDescent="0.35">
      <c r="A97" t="s">
        <v>215</v>
      </c>
      <c r="B97" t="s">
        <v>105</v>
      </c>
      <c r="C97" t="s">
        <v>55</v>
      </c>
      <c r="D97">
        <v>1</v>
      </c>
      <c r="E97">
        <v>286616.46000000002</v>
      </c>
      <c r="F97">
        <v>286616.46000000002</v>
      </c>
      <c r="G97" s="1">
        <v>45775</v>
      </c>
      <c r="H97">
        <f t="shared" si="3"/>
        <v>2025</v>
      </c>
      <c r="I97" s="3" t="str">
        <f t="shared" si="4"/>
        <v>Apr-2025</v>
      </c>
      <c r="J97">
        <f t="shared" si="5"/>
        <v>18</v>
      </c>
      <c r="K97" t="s">
        <v>13</v>
      </c>
      <c r="L97" t="s">
        <v>216</v>
      </c>
    </row>
    <row r="98" spans="1:12" x14ac:dyDescent="0.35">
      <c r="A98" t="s">
        <v>217</v>
      </c>
      <c r="B98" t="s">
        <v>76</v>
      </c>
      <c r="C98" t="s">
        <v>12</v>
      </c>
      <c r="D98">
        <v>1</v>
      </c>
      <c r="E98">
        <v>24169.32</v>
      </c>
      <c r="F98">
        <v>24169.32</v>
      </c>
      <c r="G98" s="1">
        <v>45179</v>
      </c>
      <c r="H98">
        <f t="shared" si="3"/>
        <v>2023</v>
      </c>
      <c r="I98" s="3" t="str">
        <f t="shared" si="4"/>
        <v>Sep-2023</v>
      </c>
      <c r="J98">
        <f t="shared" si="5"/>
        <v>37</v>
      </c>
      <c r="K98" t="s">
        <v>9</v>
      </c>
      <c r="L98" t="s">
        <v>218</v>
      </c>
    </row>
    <row r="99" spans="1:12" x14ac:dyDescent="0.35">
      <c r="A99" t="s">
        <v>219</v>
      </c>
      <c r="B99" t="s">
        <v>26</v>
      </c>
      <c r="C99" t="s">
        <v>46</v>
      </c>
      <c r="D99">
        <v>1</v>
      </c>
      <c r="E99">
        <v>277240.88</v>
      </c>
      <c r="F99">
        <v>277240.88</v>
      </c>
      <c r="G99" s="1">
        <v>45312</v>
      </c>
      <c r="H99">
        <f t="shared" si="3"/>
        <v>2024</v>
      </c>
      <c r="I99" s="3" t="str">
        <f t="shared" si="4"/>
        <v>Jan-2024</v>
      </c>
      <c r="J99">
        <f t="shared" si="5"/>
        <v>4</v>
      </c>
      <c r="K99" t="s">
        <v>28</v>
      </c>
      <c r="L99" t="s">
        <v>220</v>
      </c>
    </row>
    <row r="100" spans="1:12" x14ac:dyDescent="0.35">
      <c r="A100" t="s">
        <v>221</v>
      </c>
      <c r="B100" t="s">
        <v>16</v>
      </c>
      <c r="C100" t="s">
        <v>12</v>
      </c>
      <c r="D100">
        <v>1</v>
      </c>
      <c r="E100">
        <v>196963.63</v>
      </c>
      <c r="F100">
        <v>196963.63</v>
      </c>
      <c r="G100" s="1">
        <v>45270</v>
      </c>
      <c r="H100">
        <f t="shared" si="3"/>
        <v>2023</v>
      </c>
      <c r="I100" s="3" t="str">
        <f t="shared" si="4"/>
        <v>Dec-2023</v>
      </c>
      <c r="J100">
        <f t="shared" si="5"/>
        <v>50</v>
      </c>
      <c r="K100" t="s">
        <v>13</v>
      </c>
      <c r="L100" t="s">
        <v>1106</v>
      </c>
    </row>
    <row r="101" spans="1:12" x14ac:dyDescent="0.35">
      <c r="A101" t="s">
        <v>222</v>
      </c>
      <c r="B101" t="s">
        <v>26</v>
      </c>
      <c r="C101" t="s">
        <v>23</v>
      </c>
      <c r="D101">
        <v>1</v>
      </c>
      <c r="E101">
        <v>224327.88</v>
      </c>
      <c r="F101">
        <v>224327.88</v>
      </c>
      <c r="G101" s="1">
        <v>45611</v>
      </c>
      <c r="H101">
        <f t="shared" si="3"/>
        <v>2024</v>
      </c>
      <c r="I101" s="3" t="str">
        <f t="shared" si="4"/>
        <v>Nov-2024</v>
      </c>
      <c r="J101">
        <f t="shared" si="5"/>
        <v>46</v>
      </c>
      <c r="K101" t="s">
        <v>47</v>
      </c>
      <c r="L101" t="s">
        <v>223</v>
      </c>
    </row>
    <row r="102" spans="1:12" x14ac:dyDescent="0.35">
      <c r="A102" t="s">
        <v>224</v>
      </c>
      <c r="B102" t="s">
        <v>20</v>
      </c>
      <c r="C102" t="s">
        <v>46</v>
      </c>
      <c r="D102">
        <v>35</v>
      </c>
      <c r="E102">
        <v>0</v>
      </c>
      <c r="F102">
        <v>0</v>
      </c>
      <c r="G102" s="1">
        <v>45545</v>
      </c>
      <c r="H102">
        <f t="shared" si="3"/>
        <v>2024</v>
      </c>
      <c r="I102" s="3" t="str">
        <f t="shared" si="4"/>
        <v>Sep-2024</v>
      </c>
      <c r="J102">
        <f t="shared" si="5"/>
        <v>37</v>
      </c>
      <c r="K102" t="s">
        <v>28</v>
      </c>
      <c r="L102" t="s">
        <v>225</v>
      </c>
    </row>
    <row r="103" spans="1:12" x14ac:dyDescent="0.35">
      <c r="A103" t="s">
        <v>226</v>
      </c>
      <c r="B103" t="s">
        <v>34</v>
      </c>
      <c r="C103" t="s">
        <v>90</v>
      </c>
      <c r="D103">
        <v>1</v>
      </c>
      <c r="E103">
        <v>64589.05</v>
      </c>
      <c r="F103">
        <v>64589.05</v>
      </c>
      <c r="G103" s="1">
        <v>45331</v>
      </c>
      <c r="H103">
        <f t="shared" si="3"/>
        <v>2024</v>
      </c>
      <c r="I103" s="3" t="str">
        <f t="shared" si="4"/>
        <v>Feb-2024</v>
      </c>
      <c r="J103">
        <f t="shared" si="5"/>
        <v>6</v>
      </c>
      <c r="K103" t="s">
        <v>13</v>
      </c>
      <c r="L103" t="s">
        <v>227</v>
      </c>
    </row>
    <row r="104" spans="1:12" x14ac:dyDescent="0.35">
      <c r="A104" t="s">
        <v>228</v>
      </c>
      <c r="B104" t="s">
        <v>34</v>
      </c>
      <c r="C104" t="s">
        <v>23</v>
      </c>
      <c r="D104">
        <v>1</v>
      </c>
      <c r="E104">
        <v>248471.54</v>
      </c>
      <c r="F104">
        <v>248471.54</v>
      </c>
      <c r="G104" s="1">
        <v>45215</v>
      </c>
      <c r="H104">
        <f t="shared" si="3"/>
        <v>2023</v>
      </c>
      <c r="I104" s="3" t="str">
        <f t="shared" si="4"/>
        <v>Oct-2023</v>
      </c>
      <c r="J104">
        <f t="shared" si="5"/>
        <v>42</v>
      </c>
      <c r="K104" t="s">
        <v>28</v>
      </c>
      <c r="L104" t="s">
        <v>229</v>
      </c>
    </row>
    <row r="105" spans="1:12" x14ac:dyDescent="0.35">
      <c r="A105" t="s">
        <v>230</v>
      </c>
      <c r="B105" t="s">
        <v>16</v>
      </c>
      <c r="C105" t="s">
        <v>70</v>
      </c>
      <c r="D105">
        <v>1</v>
      </c>
      <c r="E105">
        <v>81704.25</v>
      </c>
      <c r="F105">
        <v>81704.25</v>
      </c>
      <c r="G105" s="1">
        <v>45603</v>
      </c>
      <c r="H105">
        <f t="shared" si="3"/>
        <v>2024</v>
      </c>
      <c r="I105" s="3" t="str">
        <f t="shared" si="4"/>
        <v>Nov-2024</v>
      </c>
      <c r="J105">
        <f t="shared" si="5"/>
        <v>45</v>
      </c>
      <c r="K105" t="s">
        <v>13</v>
      </c>
      <c r="L105" t="s">
        <v>231</v>
      </c>
    </row>
    <row r="106" spans="1:12" x14ac:dyDescent="0.35">
      <c r="A106" t="s">
        <v>1047</v>
      </c>
      <c r="B106" t="s">
        <v>79</v>
      </c>
      <c r="C106" t="s">
        <v>70</v>
      </c>
      <c r="D106">
        <v>1</v>
      </c>
      <c r="E106">
        <v>168824.4</v>
      </c>
      <c r="F106">
        <v>168824.4</v>
      </c>
      <c r="G106" s="1">
        <v>45353</v>
      </c>
      <c r="H106">
        <f t="shared" si="3"/>
        <v>2024</v>
      </c>
      <c r="I106" s="3" t="str">
        <f t="shared" si="4"/>
        <v>Mar-2024</v>
      </c>
      <c r="J106">
        <f t="shared" si="5"/>
        <v>9</v>
      </c>
      <c r="K106" t="s">
        <v>28</v>
      </c>
      <c r="L106" t="s">
        <v>232</v>
      </c>
    </row>
    <row r="107" spans="1:12" x14ac:dyDescent="0.35">
      <c r="A107" t="s">
        <v>233</v>
      </c>
      <c r="B107" t="s">
        <v>42</v>
      </c>
      <c r="C107" t="s">
        <v>27</v>
      </c>
      <c r="D107">
        <v>1</v>
      </c>
      <c r="E107">
        <v>81850.63</v>
      </c>
      <c r="F107">
        <v>81850.63</v>
      </c>
      <c r="G107" s="1">
        <v>45595</v>
      </c>
      <c r="H107">
        <f t="shared" si="3"/>
        <v>2024</v>
      </c>
      <c r="I107" s="3" t="str">
        <f t="shared" si="4"/>
        <v>Oct-2024</v>
      </c>
      <c r="J107">
        <f t="shared" si="5"/>
        <v>44</v>
      </c>
      <c r="K107" t="s">
        <v>47</v>
      </c>
      <c r="L107" t="s">
        <v>234</v>
      </c>
    </row>
    <row r="108" spans="1:12" x14ac:dyDescent="0.35">
      <c r="A108" t="s">
        <v>235</v>
      </c>
      <c r="B108" t="s">
        <v>79</v>
      </c>
      <c r="C108" t="s">
        <v>46</v>
      </c>
      <c r="D108">
        <v>1</v>
      </c>
      <c r="E108">
        <v>33213.360000000001</v>
      </c>
      <c r="F108">
        <v>33213.360000000001</v>
      </c>
      <c r="G108" s="1">
        <v>45532</v>
      </c>
      <c r="H108">
        <f t="shared" si="3"/>
        <v>2024</v>
      </c>
      <c r="I108" s="3" t="str">
        <f t="shared" si="4"/>
        <v>Aug-2024</v>
      </c>
      <c r="J108">
        <f t="shared" si="5"/>
        <v>35</v>
      </c>
      <c r="K108" t="s">
        <v>47</v>
      </c>
      <c r="L108" t="s">
        <v>236</v>
      </c>
    </row>
    <row r="109" spans="1:12" x14ac:dyDescent="0.35">
      <c r="A109" t="s">
        <v>237</v>
      </c>
      <c r="B109" t="s">
        <v>105</v>
      </c>
      <c r="C109" t="s">
        <v>27</v>
      </c>
      <c r="D109">
        <v>9</v>
      </c>
      <c r="E109">
        <v>222396.85</v>
      </c>
      <c r="F109">
        <v>2001571.6500000001</v>
      </c>
      <c r="G109" s="1">
        <v>45190</v>
      </c>
      <c r="H109">
        <f t="shared" si="3"/>
        <v>2023</v>
      </c>
      <c r="I109" s="3" t="str">
        <f t="shared" si="4"/>
        <v>Sep-2023</v>
      </c>
      <c r="J109">
        <f t="shared" si="5"/>
        <v>38</v>
      </c>
      <c r="K109" t="s">
        <v>13</v>
      </c>
      <c r="L109" t="s">
        <v>238</v>
      </c>
    </row>
    <row r="110" spans="1:12" x14ac:dyDescent="0.35">
      <c r="A110" t="s">
        <v>239</v>
      </c>
      <c r="B110" t="s">
        <v>109</v>
      </c>
      <c r="C110" t="s">
        <v>46</v>
      </c>
      <c r="D110">
        <v>1</v>
      </c>
      <c r="E110">
        <v>72164.98</v>
      </c>
      <c r="F110">
        <v>72164.98</v>
      </c>
      <c r="G110" s="1">
        <v>45508</v>
      </c>
      <c r="H110">
        <f t="shared" si="3"/>
        <v>2024</v>
      </c>
      <c r="I110" s="3" t="str">
        <f t="shared" si="4"/>
        <v>Aug-2024</v>
      </c>
      <c r="J110">
        <f t="shared" si="5"/>
        <v>32</v>
      </c>
      <c r="K110" t="s">
        <v>13</v>
      </c>
      <c r="L110" t="s">
        <v>240</v>
      </c>
    </row>
    <row r="111" spans="1:12" x14ac:dyDescent="0.35">
      <c r="A111" t="s">
        <v>241</v>
      </c>
      <c r="B111" t="s">
        <v>20</v>
      </c>
      <c r="C111" t="s">
        <v>23</v>
      </c>
      <c r="D111">
        <v>4</v>
      </c>
      <c r="E111">
        <v>15704.25</v>
      </c>
      <c r="F111">
        <v>62817</v>
      </c>
      <c r="G111" s="1">
        <v>45615</v>
      </c>
      <c r="H111">
        <f t="shared" si="3"/>
        <v>2024</v>
      </c>
      <c r="I111" s="3" t="str">
        <f t="shared" si="4"/>
        <v>Nov-2024</v>
      </c>
      <c r="J111">
        <f t="shared" si="5"/>
        <v>47</v>
      </c>
      <c r="K111" t="s">
        <v>47</v>
      </c>
      <c r="L111" t="s">
        <v>242</v>
      </c>
    </row>
    <row r="112" spans="1:12" x14ac:dyDescent="0.35">
      <c r="A112" t="s">
        <v>243</v>
      </c>
      <c r="B112" t="s">
        <v>26</v>
      </c>
      <c r="C112" t="s">
        <v>46</v>
      </c>
      <c r="D112">
        <v>1</v>
      </c>
      <c r="E112">
        <v>0</v>
      </c>
      <c r="F112">
        <v>0</v>
      </c>
      <c r="G112" s="1">
        <v>45248</v>
      </c>
      <c r="H112">
        <f t="shared" si="3"/>
        <v>2023</v>
      </c>
      <c r="I112" s="3" t="str">
        <f t="shared" si="4"/>
        <v>Nov-2023</v>
      </c>
      <c r="J112">
        <f t="shared" si="5"/>
        <v>46</v>
      </c>
      <c r="K112" t="s">
        <v>47</v>
      </c>
      <c r="L112" t="s">
        <v>244</v>
      </c>
    </row>
    <row r="113" spans="1:12" x14ac:dyDescent="0.35">
      <c r="A113" t="s">
        <v>245</v>
      </c>
      <c r="B113" t="s">
        <v>58</v>
      </c>
      <c r="C113" t="s">
        <v>90</v>
      </c>
      <c r="D113">
        <v>1</v>
      </c>
      <c r="E113">
        <v>271602.67</v>
      </c>
      <c r="F113">
        <v>271602.67</v>
      </c>
      <c r="G113" s="1">
        <v>45577</v>
      </c>
      <c r="H113">
        <f t="shared" si="3"/>
        <v>2024</v>
      </c>
      <c r="I113" s="3" t="str">
        <f t="shared" si="4"/>
        <v>Oct-2024</v>
      </c>
      <c r="J113">
        <f t="shared" si="5"/>
        <v>41</v>
      </c>
      <c r="K113" t="s">
        <v>28</v>
      </c>
      <c r="L113" t="s">
        <v>246</v>
      </c>
    </row>
    <row r="114" spans="1:12" x14ac:dyDescent="0.35">
      <c r="A114" t="s">
        <v>247</v>
      </c>
      <c r="B114" t="s">
        <v>213</v>
      </c>
      <c r="C114" t="s">
        <v>55</v>
      </c>
      <c r="D114">
        <v>1</v>
      </c>
      <c r="E114">
        <v>68088.66</v>
      </c>
      <c r="F114">
        <v>68088.66</v>
      </c>
      <c r="G114" s="1">
        <v>45569</v>
      </c>
      <c r="H114">
        <f t="shared" si="3"/>
        <v>2024</v>
      </c>
      <c r="I114" s="3" t="str">
        <f t="shared" si="4"/>
        <v>Oct-2024</v>
      </c>
      <c r="J114">
        <f t="shared" si="5"/>
        <v>40</v>
      </c>
      <c r="K114" t="s">
        <v>13</v>
      </c>
      <c r="L114" t="s">
        <v>1107</v>
      </c>
    </row>
    <row r="115" spans="1:12" x14ac:dyDescent="0.35">
      <c r="A115" t="s">
        <v>248</v>
      </c>
      <c r="B115" t="s">
        <v>37</v>
      </c>
      <c r="C115" t="s">
        <v>70</v>
      </c>
      <c r="D115">
        <v>44</v>
      </c>
      <c r="E115">
        <v>70234.55</v>
      </c>
      <c r="F115">
        <v>3090320.2</v>
      </c>
      <c r="G115" s="1">
        <v>45237</v>
      </c>
      <c r="H115">
        <f t="shared" si="3"/>
        <v>2023</v>
      </c>
      <c r="I115" s="3" t="str">
        <f t="shared" si="4"/>
        <v>Nov-2023</v>
      </c>
      <c r="J115">
        <f t="shared" si="5"/>
        <v>45</v>
      </c>
      <c r="K115" t="s">
        <v>47</v>
      </c>
      <c r="L115" t="s">
        <v>249</v>
      </c>
    </row>
    <row r="116" spans="1:12" x14ac:dyDescent="0.35">
      <c r="A116" t="s">
        <v>250</v>
      </c>
      <c r="B116" t="s">
        <v>45</v>
      </c>
      <c r="C116" t="s">
        <v>55</v>
      </c>
      <c r="D116">
        <v>1</v>
      </c>
      <c r="E116">
        <v>30509.29</v>
      </c>
      <c r="F116">
        <v>30509.29</v>
      </c>
      <c r="G116" s="1">
        <v>45250</v>
      </c>
      <c r="H116">
        <f t="shared" si="3"/>
        <v>2023</v>
      </c>
      <c r="I116" s="3" t="str">
        <f t="shared" si="4"/>
        <v>Nov-2023</v>
      </c>
      <c r="J116">
        <f t="shared" si="5"/>
        <v>47</v>
      </c>
      <c r="K116" t="s">
        <v>28</v>
      </c>
      <c r="L116" t="s">
        <v>251</v>
      </c>
    </row>
    <row r="117" spans="1:12" x14ac:dyDescent="0.35">
      <c r="A117" t="s">
        <v>252</v>
      </c>
      <c r="B117" t="s">
        <v>31</v>
      </c>
      <c r="C117" t="s">
        <v>46</v>
      </c>
      <c r="D117">
        <v>1</v>
      </c>
      <c r="E117">
        <v>99422.94</v>
      </c>
      <c r="F117">
        <v>99422.94</v>
      </c>
      <c r="G117" s="1">
        <v>45629</v>
      </c>
      <c r="H117">
        <f t="shared" si="3"/>
        <v>2024</v>
      </c>
      <c r="I117" s="3" t="str">
        <f t="shared" si="4"/>
        <v>Dec-2024</v>
      </c>
      <c r="J117">
        <f t="shared" si="5"/>
        <v>49</v>
      </c>
      <c r="K117" t="s">
        <v>13</v>
      </c>
      <c r="L117" t="s">
        <v>253</v>
      </c>
    </row>
    <row r="118" spans="1:12" x14ac:dyDescent="0.35">
      <c r="A118" t="s">
        <v>254</v>
      </c>
      <c r="B118" t="s">
        <v>26</v>
      </c>
      <c r="C118" t="s">
        <v>55</v>
      </c>
      <c r="D118">
        <v>1</v>
      </c>
      <c r="E118">
        <v>141984.97</v>
      </c>
      <c r="F118">
        <v>141984.97</v>
      </c>
      <c r="G118" s="1">
        <v>45603</v>
      </c>
      <c r="H118">
        <f t="shared" si="3"/>
        <v>2024</v>
      </c>
      <c r="I118" s="3" t="str">
        <f t="shared" si="4"/>
        <v>Nov-2024</v>
      </c>
      <c r="J118">
        <f t="shared" si="5"/>
        <v>45</v>
      </c>
      <c r="K118" t="s">
        <v>13</v>
      </c>
      <c r="L118" t="s">
        <v>255</v>
      </c>
    </row>
    <row r="119" spans="1:12" x14ac:dyDescent="0.35">
      <c r="A119" t="s">
        <v>1047</v>
      </c>
      <c r="B119" t="s">
        <v>85</v>
      </c>
      <c r="C119" t="s">
        <v>90</v>
      </c>
      <c r="D119">
        <v>77</v>
      </c>
      <c r="E119">
        <v>204517</v>
      </c>
      <c r="F119">
        <v>15747809</v>
      </c>
      <c r="G119" s="1">
        <v>45677</v>
      </c>
      <c r="H119">
        <f t="shared" si="3"/>
        <v>2025</v>
      </c>
      <c r="I119" s="3" t="str">
        <f t="shared" si="4"/>
        <v>Jan-2025</v>
      </c>
      <c r="J119">
        <f t="shared" si="5"/>
        <v>4</v>
      </c>
      <c r="K119" t="s">
        <v>28</v>
      </c>
      <c r="L119" t="s">
        <v>256</v>
      </c>
    </row>
    <row r="120" spans="1:12" x14ac:dyDescent="0.35">
      <c r="A120" t="s">
        <v>257</v>
      </c>
      <c r="B120" t="s">
        <v>42</v>
      </c>
      <c r="C120" t="s">
        <v>70</v>
      </c>
      <c r="D120">
        <v>7</v>
      </c>
      <c r="E120">
        <v>41671.379999999997</v>
      </c>
      <c r="F120">
        <v>291699.65999999997</v>
      </c>
      <c r="G120" s="1">
        <v>45818</v>
      </c>
      <c r="H120">
        <f t="shared" si="3"/>
        <v>2025</v>
      </c>
      <c r="I120" s="3" t="str">
        <f t="shared" si="4"/>
        <v>Jun-2025</v>
      </c>
      <c r="J120">
        <f t="shared" si="5"/>
        <v>24</v>
      </c>
      <c r="K120" t="s">
        <v>47</v>
      </c>
      <c r="L120" t="s">
        <v>258</v>
      </c>
    </row>
    <row r="121" spans="1:12" x14ac:dyDescent="0.35">
      <c r="A121" t="s">
        <v>259</v>
      </c>
      <c r="B121" t="s">
        <v>61</v>
      </c>
      <c r="C121" t="s">
        <v>17</v>
      </c>
      <c r="D121">
        <v>1</v>
      </c>
      <c r="E121">
        <v>289373.37</v>
      </c>
      <c r="F121">
        <v>289373.37</v>
      </c>
      <c r="G121" s="1">
        <v>45588</v>
      </c>
      <c r="H121">
        <f t="shared" si="3"/>
        <v>2024</v>
      </c>
      <c r="I121" s="3" t="str">
        <f t="shared" si="4"/>
        <v>Oct-2024</v>
      </c>
      <c r="J121">
        <f t="shared" si="5"/>
        <v>43</v>
      </c>
      <c r="K121" t="s">
        <v>47</v>
      </c>
      <c r="L121" t="s">
        <v>260</v>
      </c>
    </row>
    <row r="122" spans="1:12" x14ac:dyDescent="0.35">
      <c r="A122" t="s">
        <v>261</v>
      </c>
      <c r="B122" t="s">
        <v>37</v>
      </c>
      <c r="C122" t="s">
        <v>46</v>
      </c>
      <c r="D122">
        <v>1</v>
      </c>
      <c r="E122">
        <v>0</v>
      </c>
      <c r="F122">
        <v>0</v>
      </c>
      <c r="G122" s="1">
        <v>45380</v>
      </c>
      <c r="H122">
        <f t="shared" si="3"/>
        <v>2024</v>
      </c>
      <c r="I122" s="3" t="str">
        <f t="shared" si="4"/>
        <v>Mar-2024</v>
      </c>
      <c r="J122">
        <f t="shared" si="5"/>
        <v>13</v>
      </c>
      <c r="K122" t="s">
        <v>13</v>
      </c>
      <c r="L122" t="s">
        <v>262</v>
      </c>
    </row>
    <row r="123" spans="1:12" x14ac:dyDescent="0.35">
      <c r="A123" t="s">
        <v>263</v>
      </c>
      <c r="B123" t="s">
        <v>105</v>
      </c>
      <c r="C123" t="s">
        <v>70</v>
      </c>
      <c r="D123">
        <v>1</v>
      </c>
      <c r="E123">
        <v>293384.26</v>
      </c>
      <c r="F123">
        <v>293384.26</v>
      </c>
      <c r="G123" s="1">
        <v>45772</v>
      </c>
      <c r="H123">
        <f t="shared" si="3"/>
        <v>2025</v>
      </c>
      <c r="I123" s="3" t="str">
        <f t="shared" si="4"/>
        <v>Apr-2025</v>
      </c>
      <c r="J123">
        <f t="shared" si="5"/>
        <v>17</v>
      </c>
      <c r="K123" t="s">
        <v>28</v>
      </c>
      <c r="L123" t="s">
        <v>264</v>
      </c>
    </row>
    <row r="124" spans="1:12" x14ac:dyDescent="0.35">
      <c r="A124" t="s">
        <v>265</v>
      </c>
      <c r="B124" t="s">
        <v>105</v>
      </c>
      <c r="C124" t="s">
        <v>55</v>
      </c>
      <c r="D124">
        <v>1</v>
      </c>
      <c r="E124">
        <v>47803.35</v>
      </c>
      <c r="F124">
        <v>47803.35</v>
      </c>
      <c r="G124" s="1">
        <v>45835</v>
      </c>
      <c r="H124">
        <f t="shared" si="3"/>
        <v>2025</v>
      </c>
      <c r="I124" s="3" t="str">
        <f t="shared" si="4"/>
        <v>Jun-2025</v>
      </c>
      <c r="J124">
        <f t="shared" si="5"/>
        <v>26</v>
      </c>
      <c r="K124" t="s">
        <v>13</v>
      </c>
      <c r="L124" t="s">
        <v>266</v>
      </c>
    </row>
    <row r="125" spans="1:12" x14ac:dyDescent="0.35">
      <c r="A125" t="s">
        <v>267</v>
      </c>
      <c r="B125" t="s">
        <v>61</v>
      </c>
      <c r="C125" t="s">
        <v>17</v>
      </c>
      <c r="D125">
        <v>1</v>
      </c>
      <c r="E125">
        <v>196041.39</v>
      </c>
      <c r="F125">
        <v>196041.39</v>
      </c>
      <c r="G125" s="1">
        <v>45555</v>
      </c>
      <c r="H125">
        <f t="shared" si="3"/>
        <v>2024</v>
      </c>
      <c r="I125" s="3" t="str">
        <f t="shared" si="4"/>
        <v>Sep-2024</v>
      </c>
      <c r="J125">
        <f t="shared" si="5"/>
        <v>38</v>
      </c>
      <c r="K125" t="s">
        <v>28</v>
      </c>
      <c r="L125" t="s">
        <v>268</v>
      </c>
    </row>
    <row r="126" spans="1:12" x14ac:dyDescent="0.35">
      <c r="A126" t="s">
        <v>269</v>
      </c>
      <c r="B126" t="s">
        <v>76</v>
      </c>
      <c r="C126" t="s">
        <v>12</v>
      </c>
      <c r="D126">
        <v>1</v>
      </c>
      <c r="E126">
        <v>264253.90999999997</v>
      </c>
      <c r="F126">
        <v>264253.90999999997</v>
      </c>
      <c r="G126" s="1">
        <v>45149</v>
      </c>
      <c r="H126">
        <f t="shared" si="3"/>
        <v>2023</v>
      </c>
      <c r="I126" s="3" t="str">
        <f t="shared" si="4"/>
        <v>Aug-2023</v>
      </c>
      <c r="J126">
        <f t="shared" si="5"/>
        <v>32</v>
      </c>
      <c r="K126" t="s">
        <v>13</v>
      </c>
      <c r="L126" t="s">
        <v>270</v>
      </c>
    </row>
    <row r="127" spans="1:12" x14ac:dyDescent="0.35">
      <c r="A127" t="s">
        <v>271</v>
      </c>
      <c r="B127" t="s">
        <v>58</v>
      </c>
      <c r="C127" t="s">
        <v>70</v>
      </c>
      <c r="D127">
        <v>1</v>
      </c>
      <c r="E127">
        <v>142972.04</v>
      </c>
      <c r="F127">
        <v>142972.04</v>
      </c>
      <c r="G127" s="1">
        <v>45758</v>
      </c>
      <c r="H127">
        <f t="shared" si="3"/>
        <v>2025</v>
      </c>
      <c r="I127" s="3" t="str">
        <f t="shared" si="4"/>
        <v>Apr-2025</v>
      </c>
      <c r="J127">
        <f t="shared" si="5"/>
        <v>15</v>
      </c>
      <c r="K127" t="s">
        <v>9</v>
      </c>
      <c r="L127" t="s">
        <v>272</v>
      </c>
    </row>
    <row r="128" spans="1:12" x14ac:dyDescent="0.35">
      <c r="A128" t="s">
        <v>273</v>
      </c>
      <c r="B128" t="s">
        <v>16</v>
      </c>
      <c r="C128" t="s">
        <v>12</v>
      </c>
      <c r="D128">
        <v>1</v>
      </c>
      <c r="E128">
        <v>195336.34</v>
      </c>
      <c r="F128">
        <v>195336.34</v>
      </c>
      <c r="G128" s="1">
        <v>45788</v>
      </c>
      <c r="H128">
        <f t="shared" si="3"/>
        <v>2025</v>
      </c>
      <c r="I128" s="3" t="str">
        <f t="shared" si="4"/>
        <v>May-2025</v>
      </c>
      <c r="J128">
        <f t="shared" si="5"/>
        <v>20</v>
      </c>
      <c r="K128" t="s">
        <v>47</v>
      </c>
      <c r="L128" t="s">
        <v>1108</v>
      </c>
    </row>
    <row r="129" spans="1:12" x14ac:dyDescent="0.35">
      <c r="A129" t="s">
        <v>274</v>
      </c>
      <c r="B129" t="s">
        <v>34</v>
      </c>
      <c r="C129" t="s">
        <v>23</v>
      </c>
      <c r="D129">
        <v>1</v>
      </c>
      <c r="E129">
        <v>226895.35999999999</v>
      </c>
      <c r="F129">
        <v>226895.35999999999</v>
      </c>
      <c r="G129" s="1">
        <v>45140</v>
      </c>
      <c r="H129">
        <f t="shared" si="3"/>
        <v>2023</v>
      </c>
      <c r="I129" s="3" t="str">
        <f t="shared" si="4"/>
        <v>Aug-2023</v>
      </c>
      <c r="J129">
        <f t="shared" si="5"/>
        <v>31</v>
      </c>
      <c r="K129" t="s">
        <v>47</v>
      </c>
      <c r="L129" t="s">
        <v>275</v>
      </c>
    </row>
    <row r="130" spans="1:12" x14ac:dyDescent="0.35">
      <c r="A130" t="s">
        <v>276</v>
      </c>
      <c r="B130" t="s">
        <v>11</v>
      </c>
      <c r="C130" t="s">
        <v>17</v>
      </c>
      <c r="D130">
        <v>56</v>
      </c>
      <c r="E130">
        <v>86529.89</v>
      </c>
      <c r="F130">
        <v>4845673.84</v>
      </c>
      <c r="G130" s="1">
        <v>45181</v>
      </c>
      <c r="H130">
        <f t="shared" si="3"/>
        <v>2023</v>
      </c>
      <c r="I130" s="3" t="str">
        <f t="shared" si="4"/>
        <v>Sep-2023</v>
      </c>
      <c r="J130">
        <f t="shared" si="5"/>
        <v>37</v>
      </c>
      <c r="K130" t="s">
        <v>47</v>
      </c>
      <c r="L130" t="s">
        <v>277</v>
      </c>
    </row>
    <row r="131" spans="1:12" x14ac:dyDescent="0.35">
      <c r="A131" t="s">
        <v>278</v>
      </c>
      <c r="B131" t="s">
        <v>31</v>
      </c>
      <c r="C131" t="s">
        <v>17</v>
      </c>
      <c r="D131">
        <v>1</v>
      </c>
      <c r="E131">
        <v>85981.89</v>
      </c>
      <c r="F131">
        <v>85981.89</v>
      </c>
      <c r="G131" s="1">
        <v>45153</v>
      </c>
      <c r="H131">
        <f t="shared" ref="H131:H194" si="6">YEAR(G131)</f>
        <v>2023</v>
      </c>
      <c r="I131" s="3" t="str">
        <f t="shared" ref="I131:I194" si="7">TEXT(G131,"mmm-yyyy")</f>
        <v>Aug-2023</v>
      </c>
      <c r="J131">
        <f t="shared" ref="J131:J194" si="8">WEEKNUM(G131)</f>
        <v>33</v>
      </c>
      <c r="K131" t="s">
        <v>47</v>
      </c>
      <c r="L131" t="s">
        <v>279</v>
      </c>
    </row>
    <row r="132" spans="1:12" x14ac:dyDescent="0.35">
      <c r="A132" t="s">
        <v>1047</v>
      </c>
      <c r="B132" t="s">
        <v>34</v>
      </c>
      <c r="C132" t="s">
        <v>70</v>
      </c>
      <c r="D132">
        <v>1</v>
      </c>
      <c r="E132">
        <v>0</v>
      </c>
      <c r="F132">
        <v>0</v>
      </c>
      <c r="G132" s="1">
        <v>45616</v>
      </c>
      <c r="H132">
        <f t="shared" si="6"/>
        <v>2024</v>
      </c>
      <c r="I132" s="3" t="str">
        <f t="shared" si="7"/>
        <v>Nov-2024</v>
      </c>
      <c r="J132">
        <f t="shared" si="8"/>
        <v>47</v>
      </c>
      <c r="K132" t="s">
        <v>47</v>
      </c>
      <c r="L132" t="s">
        <v>280</v>
      </c>
    </row>
    <row r="133" spans="1:12" x14ac:dyDescent="0.35">
      <c r="A133" t="s">
        <v>281</v>
      </c>
      <c r="B133" t="s">
        <v>16</v>
      </c>
      <c r="C133" t="s">
        <v>23</v>
      </c>
      <c r="D133">
        <v>1</v>
      </c>
      <c r="E133">
        <v>18219.189999999999</v>
      </c>
      <c r="F133">
        <v>18219.189999999999</v>
      </c>
      <c r="G133" s="1">
        <v>45716</v>
      </c>
      <c r="H133">
        <f t="shared" si="6"/>
        <v>2025</v>
      </c>
      <c r="I133" s="3" t="str">
        <f t="shared" si="7"/>
        <v>Feb-2025</v>
      </c>
      <c r="J133">
        <f t="shared" si="8"/>
        <v>9</v>
      </c>
      <c r="K133" t="s">
        <v>47</v>
      </c>
      <c r="L133" t="s">
        <v>282</v>
      </c>
    </row>
    <row r="134" spans="1:12" x14ac:dyDescent="0.35">
      <c r="A134" t="s">
        <v>283</v>
      </c>
      <c r="B134" t="s">
        <v>89</v>
      </c>
      <c r="C134" t="s">
        <v>55</v>
      </c>
      <c r="D134">
        <v>1</v>
      </c>
      <c r="E134">
        <v>230733.14</v>
      </c>
      <c r="F134">
        <v>230733.14</v>
      </c>
      <c r="G134" s="1">
        <v>45565</v>
      </c>
      <c r="H134">
        <f t="shared" si="6"/>
        <v>2024</v>
      </c>
      <c r="I134" s="3" t="str">
        <f t="shared" si="7"/>
        <v>Sep-2024</v>
      </c>
      <c r="J134">
        <f t="shared" si="8"/>
        <v>40</v>
      </c>
      <c r="K134" t="s">
        <v>9</v>
      </c>
      <c r="L134" t="s">
        <v>284</v>
      </c>
    </row>
    <row r="135" spans="1:12" x14ac:dyDescent="0.35">
      <c r="A135" t="s">
        <v>285</v>
      </c>
      <c r="B135" t="s">
        <v>31</v>
      </c>
      <c r="C135" t="s">
        <v>27</v>
      </c>
      <c r="D135">
        <v>6</v>
      </c>
      <c r="E135">
        <v>195863.47</v>
      </c>
      <c r="F135">
        <v>1175180.82</v>
      </c>
      <c r="G135" s="1">
        <v>45323</v>
      </c>
      <c r="H135">
        <f t="shared" si="6"/>
        <v>2024</v>
      </c>
      <c r="I135" s="3" t="str">
        <f t="shared" si="7"/>
        <v>Feb-2024</v>
      </c>
      <c r="J135">
        <f t="shared" si="8"/>
        <v>5</v>
      </c>
      <c r="K135" t="s">
        <v>28</v>
      </c>
      <c r="L135" t="s">
        <v>286</v>
      </c>
    </row>
    <row r="136" spans="1:12" x14ac:dyDescent="0.35">
      <c r="A136" t="s">
        <v>287</v>
      </c>
      <c r="B136" t="s">
        <v>131</v>
      </c>
      <c r="C136" t="s">
        <v>46</v>
      </c>
      <c r="D136">
        <v>1</v>
      </c>
      <c r="E136">
        <v>70049.95</v>
      </c>
      <c r="F136">
        <v>70049.95</v>
      </c>
      <c r="G136" s="1">
        <v>45623</v>
      </c>
      <c r="H136">
        <f t="shared" si="6"/>
        <v>2024</v>
      </c>
      <c r="I136" s="3" t="str">
        <f t="shared" si="7"/>
        <v>Nov-2024</v>
      </c>
      <c r="J136">
        <f t="shared" si="8"/>
        <v>48</v>
      </c>
      <c r="K136" t="s">
        <v>47</v>
      </c>
      <c r="L136" t="s">
        <v>288</v>
      </c>
    </row>
    <row r="137" spans="1:12" x14ac:dyDescent="0.35">
      <c r="A137" t="s">
        <v>289</v>
      </c>
      <c r="B137" t="s">
        <v>42</v>
      </c>
      <c r="C137" t="s">
        <v>23</v>
      </c>
      <c r="D137">
        <v>8</v>
      </c>
      <c r="E137">
        <v>221736.61</v>
      </c>
      <c r="F137">
        <v>1773892.88</v>
      </c>
      <c r="G137" s="1">
        <v>45281</v>
      </c>
      <c r="H137">
        <f t="shared" si="6"/>
        <v>2023</v>
      </c>
      <c r="I137" s="3" t="str">
        <f t="shared" si="7"/>
        <v>Dec-2023</v>
      </c>
      <c r="J137">
        <f t="shared" si="8"/>
        <v>51</v>
      </c>
      <c r="K137" t="s">
        <v>28</v>
      </c>
      <c r="L137" t="s">
        <v>290</v>
      </c>
    </row>
    <row r="138" spans="1:12" x14ac:dyDescent="0.35">
      <c r="A138" t="s">
        <v>291</v>
      </c>
      <c r="B138" t="s">
        <v>85</v>
      </c>
      <c r="C138" t="s">
        <v>17</v>
      </c>
      <c r="D138">
        <v>1</v>
      </c>
      <c r="E138">
        <v>255174.76</v>
      </c>
      <c r="F138">
        <v>255174.76</v>
      </c>
      <c r="G138" s="1">
        <v>45713</v>
      </c>
      <c r="H138">
        <f t="shared" si="6"/>
        <v>2025</v>
      </c>
      <c r="I138" s="3" t="str">
        <f t="shared" si="7"/>
        <v>Feb-2025</v>
      </c>
      <c r="J138">
        <f t="shared" si="8"/>
        <v>9</v>
      </c>
      <c r="K138" t="s">
        <v>13</v>
      </c>
      <c r="L138" t="s">
        <v>292</v>
      </c>
    </row>
    <row r="139" spans="1:12" x14ac:dyDescent="0.35">
      <c r="A139" t="s">
        <v>293</v>
      </c>
      <c r="B139" t="s">
        <v>76</v>
      </c>
      <c r="C139" t="s">
        <v>27</v>
      </c>
      <c r="D139">
        <v>28</v>
      </c>
      <c r="E139">
        <v>11670.82</v>
      </c>
      <c r="F139">
        <v>326782.95999999996</v>
      </c>
      <c r="G139" s="1">
        <v>45562</v>
      </c>
      <c r="H139">
        <f t="shared" si="6"/>
        <v>2024</v>
      </c>
      <c r="I139" s="3" t="str">
        <f t="shared" si="7"/>
        <v>Sep-2024</v>
      </c>
      <c r="J139">
        <f t="shared" si="8"/>
        <v>39</v>
      </c>
      <c r="K139" t="s">
        <v>9</v>
      </c>
      <c r="L139" t="s">
        <v>294</v>
      </c>
    </row>
    <row r="140" spans="1:12" x14ac:dyDescent="0.35">
      <c r="A140" t="s">
        <v>295</v>
      </c>
      <c r="B140" t="s">
        <v>11</v>
      </c>
      <c r="C140" t="s">
        <v>17</v>
      </c>
      <c r="D140">
        <v>1</v>
      </c>
      <c r="E140">
        <v>276480.53000000003</v>
      </c>
      <c r="F140">
        <v>276480.53000000003</v>
      </c>
      <c r="G140" s="1">
        <v>45441</v>
      </c>
      <c r="H140">
        <f t="shared" si="6"/>
        <v>2024</v>
      </c>
      <c r="I140" s="3" t="str">
        <f t="shared" si="7"/>
        <v>May-2024</v>
      </c>
      <c r="J140">
        <f t="shared" si="8"/>
        <v>22</v>
      </c>
      <c r="K140" t="s">
        <v>28</v>
      </c>
      <c r="L140" t="s">
        <v>296</v>
      </c>
    </row>
    <row r="141" spans="1:12" x14ac:dyDescent="0.35">
      <c r="A141" t="s">
        <v>297</v>
      </c>
      <c r="B141" t="s">
        <v>16</v>
      </c>
      <c r="C141" t="s">
        <v>70</v>
      </c>
      <c r="D141">
        <v>1</v>
      </c>
      <c r="E141">
        <v>125656.55</v>
      </c>
      <c r="F141">
        <v>125656.55</v>
      </c>
      <c r="G141" s="1">
        <v>45598</v>
      </c>
      <c r="H141">
        <f t="shared" si="6"/>
        <v>2024</v>
      </c>
      <c r="I141" s="3" t="str">
        <f t="shared" si="7"/>
        <v>Nov-2024</v>
      </c>
      <c r="J141">
        <f t="shared" si="8"/>
        <v>44</v>
      </c>
      <c r="K141" t="s">
        <v>28</v>
      </c>
      <c r="L141" t="s">
        <v>298</v>
      </c>
    </row>
    <row r="142" spans="1:12" x14ac:dyDescent="0.35">
      <c r="A142" t="s">
        <v>299</v>
      </c>
      <c r="B142" t="s">
        <v>58</v>
      </c>
      <c r="C142" t="s">
        <v>55</v>
      </c>
      <c r="D142">
        <v>16</v>
      </c>
      <c r="E142">
        <v>0</v>
      </c>
      <c r="F142">
        <v>0</v>
      </c>
      <c r="G142" s="1">
        <v>45614</v>
      </c>
      <c r="H142">
        <f t="shared" si="6"/>
        <v>2024</v>
      </c>
      <c r="I142" s="3" t="str">
        <f t="shared" si="7"/>
        <v>Nov-2024</v>
      </c>
      <c r="J142">
        <f t="shared" si="8"/>
        <v>47</v>
      </c>
      <c r="K142" t="s">
        <v>47</v>
      </c>
      <c r="L142" t="s">
        <v>1109</v>
      </c>
    </row>
    <row r="143" spans="1:12" x14ac:dyDescent="0.35">
      <c r="A143" t="s">
        <v>300</v>
      </c>
      <c r="B143" t="s">
        <v>85</v>
      </c>
      <c r="C143" t="s">
        <v>90</v>
      </c>
      <c r="D143">
        <v>1</v>
      </c>
      <c r="E143">
        <v>251362.66</v>
      </c>
      <c r="F143">
        <v>251362.66</v>
      </c>
      <c r="G143" s="1">
        <v>45141</v>
      </c>
      <c r="H143">
        <f t="shared" si="6"/>
        <v>2023</v>
      </c>
      <c r="I143" s="3" t="str">
        <f t="shared" si="7"/>
        <v>Aug-2023</v>
      </c>
      <c r="J143">
        <f t="shared" si="8"/>
        <v>31</v>
      </c>
      <c r="K143" t="s">
        <v>13</v>
      </c>
      <c r="L143" t="s">
        <v>301</v>
      </c>
    </row>
    <row r="144" spans="1:12" x14ac:dyDescent="0.35">
      <c r="A144" t="s">
        <v>302</v>
      </c>
      <c r="B144" t="s">
        <v>58</v>
      </c>
      <c r="C144" t="s">
        <v>17</v>
      </c>
      <c r="D144">
        <v>56</v>
      </c>
      <c r="E144">
        <v>280209.82</v>
      </c>
      <c r="F144">
        <v>15691749.92</v>
      </c>
      <c r="G144" s="1">
        <v>45504</v>
      </c>
      <c r="H144">
        <f t="shared" si="6"/>
        <v>2024</v>
      </c>
      <c r="I144" s="3" t="str">
        <f t="shared" si="7"/>
        <v>Jul-2024</v>
      </c>
      <c r="J144">
        <f t="shared" si="8"/>
        <v>31</v>
      </c>
      <c r="K144" t="s">
        <v>47</v>
      </c>
      <c r="L144" t="s">
        <v>303</v>
      </c>
    </row>
    <row r="145" spans="1:12" x14ac:dyDescent="0.35">
      <c r="A145" t="s">
        <v>1047</v>
      </c>
      <c r="B145" t="s">
        <v>31</v>
      </c>
      <c r="C145" t="s">
        <v>55</v>
      </c>
      <c r="D145">
        <v>1</v>
      </c>
      <c r="E145">
        <v>11383.78</v>
      </c>
      <c r="F145">
        <v>11383.78</v>
      </c>
      <c r="G145" s="1">
        <v>45808</v>
      </c>
      <c r="H145">
        <f t="shared" si="6"/>
        <v>2025</v>
      </c>
      <c r="I145" s="3" t="str">
        <f t="shared" si="7"/>
        <v>May-2025</v>
      </c>
      <c r="J145">
        <f t="shared" si="8"/>
        <v>22</v>
      </c>
      <c r="K145" t="s">
        <v>13</v>
      </c>
      <c r="L145" t="s">
        <v>304</v>
      </c>
    </row>
    <row r="146" spans="1:12" x14ac:dyDescent="0.35">
      <c r="A146" t="s">
        <v>305</v>
      </c>
      <c r="B146" t="s">
        <v>131</v>
      </c>
      <c r="C146" t="s">
        <v>12</v>
      </c>
      <c r="D146">
        <v>1</v>
      </c>
      <c r="E146">
        <v>250942.86</v>
      </c>
      <c r="F146">
        <v>250942.86</v>
      </c>
      <c r="G146" s="1">
        <v>45605</v>
      </c>
      <c r="H146">
        <f t="shared" si="6"/>
        <v>2024</v>
      </c>
      <c r="I146" s="3" t="str">
        <f t="shared" si="7"/>
        <v>Nov-2024</v>
      </c>
      <c r="J146">
        <f t="shared" si="8"/>
        <v>45</v>
      </c>
      <c r="K146" t="s">
        <v>47</v>
      </c>
      <c r="L146" t="s">
        <v>306</v>
      </c>
    </row>
    <row r="147" spans="1:12" x14ac:dyDescent="0.35">
      <c r="A147" t="s">
        <v>307</v>
      </c>
      <c r="B147" t="s">
        <v>58</v>
      </c>
      <c r="C147" t="s">
        <v>17</v>
      </c>
      <c r="D147">
        <v>1</v>
      </c>
      <c r="E147">
        <v>236494.21</v>
      </c>
      <c r="F147">
        <v>236494.21</v>
      </c>
      <c r="G147" s="1">
        <v>45541</v>
      </c>
      <c r="H147">
        <f t="shared" si="6"/>
        <v>2024</v>
      </c>
      <c r="I147" s="3" t="str">
        <f t="shared" si="7"/>
        <v>Sep-2024</v>
      </c>
      <c r="J147">
        <f t="shared" si="8"/>
        <v>36</v>
      </c>
      <c r="K147" t="s">
        <v>28</v>
      </c>
      <c r="L147" t="s">
        <v>308</v>
      </c>
    </row>
    <row r="148" spans="1:12" x14ac:dyDescent="0.35">
      <c r="A148" t="s">
        <v>309</v>
      </c>
      <c r="B148" t="s">
        <v>61</v>
      </c>
      <c r="C148" t="s">
        <v>27</v>
      </c>
      <c r="D148">
        <v>1</v>
      </c>
      <c r="E148">
        <v>56300.33</v>
      </c>
      <c r="F148">
        <v>56300.33</v>
      </c>
      <c r="G148" s="1">
        <v>45342</v>
      </c>
      <c r="H148">
        <f t="shared" si="6"/>
        <v>2024</v>
      </c>
      <c r="I148" s="3" t="str">
        <f t="shared" si="7"/>
        <v>Feb-2024</v>
      </c>
      <c r="J148">
        <f t="shared" si="8"/>
        <v>8</v>
      </c>
      <c r="K148" t="s">
        <v>28</v>
      </c>
      <c r="L148" t="s">
        <v>310</v>
      </c>
    </row>
    <row r="149" spans="1:12" x14ac:dyDescent="0.35">
      <c r="A149" t="s">
        <v>311</v>
      </c>
      <c r="B149" t="s">
        <v>53</v>
      </c>
      <c r="C149" t="s">
        <v>55</v>
      </c>
      <c r="D149">
        <v>46</v>
      </c>
      <c r="E149">
        <v>224826.46</v>
      </c>
      <c r="F149">
        <v>10342017.16</v>
      </c>
      <c r="G149" s="1">
        <v>45616</v>
      </c>
      <c r="H149">
        <f t="shared" si="6"/>
        <v>2024</v>
      </c>
      <c r="I149" s="3" t="str">
        <f t="shared" si="7"/>
        <v>Nov-2024</v>
      </c>
      <c r="J149">
        <f t="shared" si="8"/>
        <v>47</v>
      </c>
      <c r="K149" t="s">
        <v>9</v>
      </c>
      <c r="L149" t="s">
        <v>312</v>
      </c>
    </row>
    <row r="150" spans="1:12" x14ac:dyDescent="0.35">
      <c r="A150" t="s">
        <v>313</v>
      </c>
      <c r="B150" t="s">
        <v>26</v>
      </c>
      <c r="C150" t="s">
        <v>23</v>
      </c>
      <c r="D150">
        <v>1</v>
      </c>
      <c r="E150">
        <v>261751.06</v>
      </c>
      <c r="F150">
        <v>261751.06</v>
      </c>
      <c r="G150" s="1">
        <v>45352</v>
      </c>
      <c r="H150">
        <f t="shared" si="6"/>
        <v>2024</v>
      </c>
      <c r="I150" s="3" t="str">
        <f t="shared" si="7"/>
        <v>Mar-2024</v>
      </c>
      <c r="J150">
        <f t="shared" si="8"/>
        <v>9</v>
      </c>
      <c r="K150" t="s">
        <v>28</v>
      </c>
      <c r="L150" t="s">
        <v>314</v>
      </c>
    </row>
    <row r="151" spans="1:12" x14ac:dyDescent="0.35">
      <c r="A151" t="s">
        <v>315</v>
      </c>
      <c r="B151" t="s">
        <v>109</v>
      </c>
      <c r="C151" t="s">
        <v>55</v>
      </c>
      <c r="D151">
        <v>1</v>
      </c>
      <c r="E151">
        <v>87195.36</v>
      </c>
      <c r="F151">
        <v>87195.36</v>
      </c>
      <c r="G151" s="1">
        <v>45493</v>
      </c>
      <c r="H151">
        <f t="shared" si="6"/>
        <v>2024</v>
      </c>
      <c r="I151" s="3" t="str">
        <f t="shared" si="7"/>
        <v>Jul-2024</v>
      </c>
      <c r="J151">
        <f t="shared" si="8"/>
        <v>29</v>
      </c>
      <c r="K151" t="s">
        <v>47</v>
      </c>
      <c r="L151" t="s">
        <v>316</v>
      </c>
    </row>
    <row r="152" spans="1:12" x14ac:dyDescent="0.35">
      <c r="A152" t="s">
        <v>317</v>
      </c>
      <c r="B152" t="s">
        <v>85</v>
      </c>
      <c r="C152" t="s">
        <v>23</v>
      </c>
      <c r="D152">
        <v>1</v>
      </c>
      <c r="E152">
        <v>0</v>
      </c>
      <c r="F152">
        <v>0</v>
      </c>
      <c r="G152" s="1">
        <v>45308</v>
      </c>
      <c r="H152">
        <f t="shared" si="6"/>
        <v>2024</v>
      </c>
      <c r="I152" s="3" t="str">
        <f t="shared" si="7"/>
        <v>Jan-2024</v>
      </c>
      <c r="J152">
        <f t="shared" si="8"/>
        <v>3</v>
      </c>
      <c r="K152" t="s">
        <v>28</v>
      </c>
      <c r="L152" t="s">
        <v>318</v>
      </c>
    </row>
    <row r="153" spans="1:12" x14ac:dyDescent="0.35">
      <c r="A153" t="s">
        <v>319</v>
      </c>
      <c r="B153" t="s">
        <v>34</v>
      </c>
      <c r="C153" t="s">
        <v>23</v>
      </c>
      <c r="D153">
        <v>1</v>
      </c>
      <c r="E153">
        <v>11721.12</v>
      </c>
      <c r="F153">
        <v>11721.12</v>
      </c>
      <c r="G153" s="1">
        <v>45743</v>
      </c>
      <c r="H153">
        <f t="shared" si="6"/>
        <v>2025</v>
      </c>
      <c r="I153" s="3" t="str">
        <f t="shared" si="7"/>
        <v>Mar-2025</v>
      </c>
      <c r="J153">
        <f t="shared" si="8"/>
        <v>13</v>
      </c>
      <c r="K153" t="s">
        <v>47</v>
      </c>
      <c r="L153" t="s">
        <v>320</v>
      </c>
    </row>
    <row r="154" spans="1:12" x14ac:dyDescent="0.35">
      <c r="A154" t="s">
        <v>321</v>
      </c>
      <c r="B154" t="s">
        <v>58</v>
      </c>
      <c r="C154" t="s">
        <v>90</v>
      </c>
      <c r="D154">
        <v>1</v>
      </c>
      <c r="E154">
        <v>89868.47</v>
      </c>
      <c r="F154">
        <v>89868.47</v>
      </c>
      <c r="G154" s="1">
        <v>45745</v>
      </c>
      <c r="H154">
        <f t="shared" si="6"/>
        <v>2025</v>
      </c>
      <c r="I154" s="3" t="str">
        <f t="shared" si="7"/>
        <v>Mar-2025</v>
      </c>
      <c r="J154">
        <f t="shared" si="8"/>
        <v>13</v>
      </c>
      <c r="K154" t="s">
        <v>28</v>
      </c>
      <c r="L154" t="s">
        <v>322</v>
      </c>
    </row>
    <row r="155" spans="1:12" x14ac:dyDescent="0.35">
      <c r="A155" t="s">
        <v>323</v>
      </c>
      <c r="B155" t="s">
        <v>11</v>
      </c>
      <c r="C155" t="s">
        <v>27</v>
      </c>
      <c r="D155">
        <v>1</v>
      </c>
      <c r="E155">
        <v>181033.5</v>
      </c>
      <c r="F155">
        <v>181033.5</v>
      </c>
      <c r="G155" s="1">
        <v>45650</v>
      </c>
      <c r="H155">
        <f t="shared" si="6"/>
        <v>2024</v>
      </c>
      <c r="I155" s="3" t="str">
        <f t="shared" si="7"/>
        <v>Dec-2024</v>
      </c>
      <c r="J155">
        <f t="shared" si="8"/>
        <v>52</v>
      </c>
      <c r="K155" t="s">
        <v>47</v>
      </c>
      <c r="L155" t="s">
        <v>324</v>
      </c>
    </row>
    <row r="156" spans="1:12" x14ac:dyDescent="0.35">
      <c r="A156" t="s">
        <v>325</v>
      </c>
      <c r="B156" t="s">
        <v>61</v>
      </c>
      <c r="C156" t="s">
        <v>46</v>
      </c>
      <c r="D156">
        <v>1</v>
      </c>
      <c r="E156">
        <v>278572.23</v>
      </c>
      <c r="F156">
        <v>278572.23</v>
      </c>
      <c r="G156" s="1">
        <v>45433</v>
      </c>
      <c r="H156">
        <f t="shared" si="6"/>
        <v>2024</v>
      </c>
      <c r="I156" s="3" t="str">
        <f t="shared" si="7"/>
        <v>May-2024</v>
      </c>
      <c r="J156">
        <f t="shared" si="8"/>
        <v>21</v>
      </c>
      <c r="K156" t="s">
        <v>47</v>
      </c>
      <c r="L156" t="s">
        <v>1110</v>
      </c>
    </row>
    <row r="157" spans="1:12" x14ac:dyDescent="0.35">
      <c r="A157" t="s">
        <v>326</v>
      </c>
      <c r="B157" t="s">
        <v>89</v>
      </c>
      <c r="C157" t="s">
        <v>27</v>
      </c>
      <c r="D157">
        <v>1</v>
      </c>
      <c r="E157">
        <v>100845.11</v>
      </c>
      <c r="F157">
        <v>100845.11</v>
      </c>
      <c r="G157" s="1">
        <v>45349</v>
      </c>
      <c r="H157">
        <f t="shared" si="6"/>
        <v>2024</v>
      </c>
      <c r="I157" s="3" t="str">
        <f t="shared" si="7"/>
        <v>Feb-2024</v>
      </c>
      <c r="J157">
        <f t="shared" si="8"/>
        <v>9</v>
      </c>
      <c r="K157" t="s">
        <v>28</v>
      </c>
      <c r="L157" t="s">
        <v>327</v>
      </c>
    </row>
    <row r="158" spans="1:12" x14ac:dyDescent="0.35">
      <c r="A158" t="s">
        <v>1047</v>
      </c>
      <c r="B158" t="s">
        <v>213</v>
      </c>
      <c r="C158" t="s">
        <v>70</v>
      </c>
      <c r="D158">
        <v>1</v>
      </c>
      <c r="E158">
        <v>136577.54999999999</v>
      </c>
      <c r="F158">
        <v>136577.54999999999</v>
      </c>
      <c r="G158" s="1">
        <v>45470</v>
      </c>
      <c r="H158">
        <f t="shared" si="6"/>
        <v>2024</v>
      </c>
      <c r="I158" s="3" t="str">
        <f t="shared" si="7"/>
        <v>Jun-2024</v>
      </c>
      <c r="J158">
        <f t="shared" si="8"/>
        <v>26</v>
      </c>
      <c r="K158" t="s">
        <v>47</v>
      </c>
      <c r="L158" t="s">
        <v>328</v>
      </c>
    </row>
    <row r="159" spans="1:12" x14ac:dyDescent="0.35">
      <c r="A159" t="s">
        <v>329</v>
      </c>
      <c r="B159" t="s">
        <v>11</v>
      </c>
      <c r="C159" t="s">
        <v>17</v>
      </c>
      <c r="D159">
        <v>1</v>
      </c>
      <c r="E159">
        <v>192573.07</v>
      </c>
      <c r="F159">
        <v>192573.07</v>
      </c>
      <c r="G159" s="1">
        <v>45174</v>
      </c>
      <c r="H159">
        <f t="shared" si="6"/>
        <v>2023</v>
      </c>
      <c r="I159" s="3" t="str">
        <f t="shared" si="7"/>
        <v>Sep-2023</v>
      </c>
      <c r="J159">
        <f t="shared" si="8"/>
        <v>36</v>
      </c>
      <c r="K159" t="s">
        <v>9</v>
      </c>
      <c r="L159" t="s">
        <v>330</v>
      </c>
    </row>
    <row r="160" spans="1:12" x14ac:dyDescent="0.35">
      <c r="A160" t="s">
        <v>331</v>
      </c>
      <c r="B160" t="s">
        <v>31</v>
      </c>
      <c r="C160" t="s">
        <v>27</v>
      </c>
      <c r="D160">
        <v>1</v>
      </c>
      <c r="E160">
        <v>157533.4</v>
      </c>
      <c r="F160">
        <v>157533.4</v>
      </c>
      <c r="G160" s="1">
        <v>45652</v>
      </c>
      <c r="H160">
        <f t="shared" si="6"/>
        <v>2024</v>
      </c>
      <c r="I160" s="3" t="str">
        <f t="shared" si="7"/>
        <v>Dec-2024</v>
      </c>
      <c r="J160">
        <f t="shared" si="8"/>
        <v>52</v>
      </c>
      <c r="K160" t="s">
        <v>13</v>
      </c>
      <c r="L160" t="s">
        <v>332</v>
      </c>
    </row>
    <row r="161" spans="1:12" x14ac:dyDescent="0.35">
      <c r="A161" t="s">
        <v>333</v>
      </c>
      <c r="B161" t="s">
        <v>109</v>
      </c>
      <c r="C161" t="s">
        <v>17</v>
      </c>
      <c r="D161">
        <v>1</v>
      </c>
      <c r="E161">
        <v>266833.36</v>
      </c>
      <c r="F161">
        <v>266833.36</v>
      </c>
      <c r="G161" s="1">
        <v>45164</v>
      </c>
      <c r="H161">
        <f t="shared" si="6"/>
        <v>2023</v>
      </c>
      <c r="I161" s="3" t="str">
        <f t="shared" si="7"/>
        <v>Aug-2023</v>
      </c>
      <c r="J161">
        <f t="shared" si="8"/>
        <v>34</v>
      </c>
      <c r="K161" t="s">
        <v>47</v>
      </c>
      <c r="L161" t="s">
        <v>334</v>
      </c>
    </row>
    <row r="162" spans="1:12" x14ac:dyDescent="0.35">
      <c r="A162" t="s">
        <v>335</v>
      </c>
      <c r="B162" t="s">
        <v>131</v>
      </c>
      <c r="C162" t="s">
        <v>17</v>
      </c>
      <c r="D162">
        <v>47</v>
      </c>
      <c r="E162">
        <v>0</v>
      </c>
      <c r="F162">
        <v>0</v>
      </c>
      <c r="G162" s="1">
        <v>45240</v>
      </c>
      <c r="H162">
        <f t="shared" si="6"/>
        <v>2023</v>
      </c>
      <c r="I162" s="3" t="str">
        <f t="shared" si="7"/>
        <v>Nov-2023</v>
      </c>
      <c r="J162">
        <f t="shared" si="8"/>
        <v>45</v>
      </c>
      <c r="K162" t="s">
        <v>47</v>
      </c>
      <c r="L162" t="s">
        <v>336</v>
      </c>
    </row>
    <row r="163" spans="1:12" x14ac:dyDescent="0.35">
      <c r="A163" t="s">
        <v>337</v>
      </c>
      <c r="B163" t="s">
        <v>20</v>
      </c>
      <c r="C163" t="s">
        <v>17</v>
      </c>
      <c r="D163">
        <v>56</v>
      </c>
      <c r="E163">
        <v>40692.879999999997</v>
      </c>
      <c r="F163">
        <v>2278801.2799999998</v>
      </c>
      <c r="G163" s="1">
        <v>45459</v>
      </c>
      <c r="H163">
        <f t="shared" si="6"/>
        <v>2024</v>
      </c>
      <c r="I163" s="3" t="str">
        <f t="shared" si="7"/>
        <v>Jun-2024</v>
      </c>
      <c r="J163">
        <f t="shared" si="8"/>
        <v>25</v>
      </c>
      <c r="K163" t="s">
        <v>9</v>
      </c>
      <c r="L163" t="s">
        <v>338</v>
      </c>
    </row>
    <row r="164" spans="1:12" x14ac:dyDescent="0.35">
      <c r="A164" t="s">
        <v>339</v>
      </c>
      <c r="B164" t="s">
        <v>45</v>
      </c>
      <c r="C164" t="s">
        <v>90</v>
      </c>
      <c r="D164">
        <v>1</v>
      </c>
      <c r="E164">
        <v>151511.70000000001</v>
      </c>
      <c r="F164">
        <v>151511.70000000001</v>
      </c>
      <c r="G164" s="1">
        <v>45440</v>
      </c>
      <c r="H164">
        <f t="shared" si="6"/>
        <v>2024</v>
      </c>
      <c r="I164" s="3" t="str">
        <f t="shared" si="7"/>
        <v>May-2024</v>
      </c>
      <c r="J164">
        <f t="shared" si="8"/>
        <v>22</v>
      </c>
      <c r="K164" t="s">
        <v>9</v>
      </c>
      <c r="L164" t="s">
        <v>340</v>
      </c>
    </row>
    <row r="165" spans="1:12" x14ac:dyDescent="0.35">
      <c r="A165" t="s">
        <v>341</v>
      </c>
      <c r="B165" t="s">
        <v>20</v>
      </c>
      <c r="C165" t="s">
        <v>46</v>
      </c>
      <c r="D165">
        <v>1</v>
      </c>
      <c r="E165">
        <v>82214.710000000006</v>
      </c>
      <c r="F165">
        <v>82214.710000000006</v>
      </c>
      <c r="G165" s="1">
        <v>45494</v>
      </c>
      <c r="H165">
        <f t="shared" si="6"/>
        <v>2024</v>
      </c>
      <c r="I165" s="3" t="str">
        <f t="shared" si="7"/>
        <v>Jul-2024</v>
      </c>
      <c r="J165">
        <f t="shared" si="8"/>
        <v>30</v>
      </c>
      <c r="K165" t="s">
        <v>47</v>
      </c>
      <c r="L165" t="s">
        <v>342</v>
      </c>
    </row>
    <row r="166" spans="1:12" x14ac:dyDescent="0.35">
      <c r="A166" t="s">
        <v>343</v>
      </c>
      <c r="B166" t="s">
        <v>79</v>
      </c>
      <c r="C166" t="s">
        <v>23</v>
      </c>
      <c r="D166">
        <v>68</v>
      </c>
      <c r="E166">
        <v>242739.76</v>
      </c>
      <c r="F166">
        <v>16506303.68</v>
      </c>
      <c r="G166" s="1">
        <v>45478</v>
      </c>
      <c r="H166">
        <f t="shared" si="6"/>
        <v>2024</v>
      </c>
      <c r="I166" s="3" t="str">
        <f t="shared" si="7"/>
        <v>Jul-2024</v>
      </c>
      <c r="J166">
        <f t="shared" si="8"/>
        <v>27</v>
      </c>
      <c r="K166" t="s">
        <v>13</v>
      </c>
      <c r="L166" t="s">
        <v>344</v>
      </c>
    </row>
    <row r="167" spans="1:12" x14ac:dyDescent="0.35">
      <c r="A167" t="s">
        <v>345</v>
      </c>
      <c r="B167" t="s">
        <v>37</v>
      </c>
      <c r="C167" t="s">
        <v>27</v>
      </c>
      <c r="D167">
        <v>1</v>
      </c>
      <c r="E167">
        <v>99539.89</v>
      </c>
      <c r="F167">
        <v>99539.89</v>
      </c>
      <c r="G167" s="1">
        <v>45276</v>
      </c>
      <c r="H167">
        <f t="shared" si="6"/>
        <v>2023</v>
      </c>
      <c r="I167" s="3" t="str">
        <f t="shared" si="7"/>
        <v>Dec-2023</v>
      </c>
      <c r="J167">
        <f t="shared" si="8"/>
        <v>50</v>
      </c>
      <c r="K167" t="s">
        <v>47</v>
      </c>
      <c r="L167" t="s">
        <v>346</v>
      </c>
    </row>
    <row r="168" spans="1:12" x14ac:dyDescent="0.35">
      <c r="A168" t="s">
        <v>347</v>
      </c>
      <c r="B168" t="s">
        <v>37</v>
      </c>
      <c r="C168" t="s">
        <v>70</v>
      </c>
      <c r="D168">
        <v>1</v>
      </c>
      <c r="E168">
        <v>219470.21</v>
      </c>
      <c r="F168">
        <v>219470.21</v>
      </c>
      <c r="G168" s="1">
        <v>45382</v>
      </c>
      <c r="H168">
        <f t="shared" si="6"/>
        <v>2024</v>
      </c>
      <c r="I168" s="3" t="str">
        <f t="shared" si="7"/>
        <v>Mar-2024</v>
      </c>
      <c r="J168">
        <f t="shared" si="8"/>
        <v>14</v>
      </c>
      <c r="K168" t="s">
        <v>47</v>
      </c>
      <c r="L168" t="s">
        <v>348</v>
      </c>
    </row>
    <row r="169" spans="1:12" x14ac:dyDescent="0.35">
      <c r="A169" t="s">
        <v>349</v>
      </c>
      <c r="B169" t="s">
        <v>213</v>
      </c>
      <c r="C169" t="s">
        <v>27</v>
      </c>
      <c r="D169">
        <v>1</v>
      </c>
      <c r="E169">
        <v>194661.46</v>
      </c>
      <c r="F169">
        <v>194661.46</v>
      </c>
      <c r="G169" s="1">
        <v>45589</v>
      </c>
      <c r="H169">
        <f t="shared" si="6"/>
        <v>2024</v>
      </c>
      <c r="I169" s="3" t="str">
        <f t="shared" si="7"/>
        <v>Oct-2024</v>
      </c>
      <c r="J169">
        <f t="shared" si="8"/>
        <v>43</v>
      </c>
      <c r="K169" t="s">
        <v>9</v>
      </c>
      <c r="L169" t="s">
        <v>350</v>
      </c>
    </row>
    <row r="170" spans="1:12" x14ac:dyDescent="0.35">
      <c r="A170" t="s">
        <v>351</v>
      </c>
      <c r="B170" t="s">
        <v>37</v>
      </c>
      <c r="C170" t="s">
        <v>23</v>
      </c>
      <c r="D170">
        <v>100</v>
      </c>
      <c r="E170">
        <v>215720.15</v>
      </c>
      <c r="F170">
        <v>21572015</v>
      </c>
      <c r="G170" s="1">
        <v>45229</v>
      </c>
      <c r="H170">
        <f t="shared" si="6"/>
        <v>2023</v>
      </c>
      <c r="I170" s="3" t="str">
        <f t="shared" si="7"/>
        <v>Oct-2023</v>
      </c>
      <c r="J170">
        <f t="shared" si="8"/>
        <v>44</v>
      </c>
      <c r="K170" t="s">
        <v>47</v>
      </c>
      <c r="L170" t="s">
        <v>1111</v>
      </c>
    </row>
    <row r="171" spans="1:12" x14ac:dyDescent="0.35">
      <c r="A171" t="s">
        <v>1047</v>
      </c>
      <c r="B171" t="s">
        <v>34</v>
      </c>
      <c r="C171" t="s">
        <v>55</v>
      </c>
      <c r="D171">
        <v>1</v>
      </c>
      <c r="E171">
        <v>4718.22</v>
      </c>
      <c r="F171">
        <v>4718.22</v>
      </c>
      <c r="G171" s="1">
        <v>45360</v>
      </c>
      <c r="H171">
        <f t="shared" si="6"/>
        <v>2024</v>
      </c>
      <c r="I171" s="3" t="str">
        <f t="shared" si="7"/>
        <v>Mar-2024</v>
      </c>
      <c r="J171">
        <f t="shared" si="8"/>
        <v>10</v>
      </c>
      <c r="K171" t="s">
        <v>28</v>
      </c>
      <c r="L171" t="s">
        <v>352</v>
      </c>
    </row>
    <row r="172" spans="1:12" x14ac:dyDescent="0.35">
      <c r="A172" t="s">
        <v>353</v>
      </c>
      <c r="B172" t="s">
        <v>26</v>
      </c>
      <c r="C172" t="s">
        <v>17</v>
      </c>
      <c r="D172">
        <v>82</v>
      </c>
      <c r="E172">
        <v>0</v>
      </c>
      <c r="F172">
        <v>0</v>
      </c>
      <c r="G172" s="1">
        <v>45787</v>
      </c>
      <c r="H172">
        <f t="shared" si="6"/>
        <v>2025</v>
      </c>
      <c r="I172" s="3" t="str">
        <f t="shared" si="7"/>
        <v>May-2025</v>
      </c>
      <c r="J172">
        <f t="shared" si="8"/>
        <v>19</v>
      </c>
      <c r="K172" t="s">
        <v>13</v>
      </c>
      <c r="L172" t="s">
        <v>354</v>
      </c>
    </row>
    <row r="173" spans="1:12" x14ac:dyDescent="0.35">
      <c r="A173" t="s">
        <v>355</v>
      </c>
      <c r="B173" t="s">
        <v>26</v>
      </c>
      <c r="C173" t="s">
        <v>55</v>
      </c>
      <c r="D173">
        <v>1</v>
      </c>
      <c r="E173">
        <v>101465.1</v>
      </c>
      <c r="F173">
        <v>101465.1</v>
      </c>
      <c r="G173" s="1">
        <v>45675</v>
      </c>
      <c r="H173">
        <f t="shared" si="6"/>
        <v>2025</v>
      </c>
      <c r="I173" s="3" t="str">
        <f t="shared" si="7"/>
        <v>Jan-2025</v>
      </c>
      <c r="J173">
        <f t="shared" si="8"/>
        <v>3</v>
      </c>
      <c r="K173" t="s">
        <v>28</v>
      </c>
      <c r="L173" t="s">
        <v>356</v>
      </c>
    </row>
    <row r="174" spans="1:12" x14ac:dyDescent="0.35">
      <c r="A174" t="s">
        <v>357</v>
      </c>
      <c r="B174" t="s">
        <v>213</v>
      </c>
      <c r="C174" t="s">
        <v>70</v>
      </c>
      <c r="D174">
        <v>1</v>
      </c>
      <c r="E174">
        <v>88859.77</v>
      </c>
      <c r="F174">
        <v>88859.77</v>
      </c>
      <c r="G174" s="1">
        <v>45366</v>
      </c>
      <c r="H174">
        <f t="shared" si="6"/>
        <v>2024</v>
      </c>
      <c r="I174" s="3" t="str">
        <f t="shared" si="7"/>
        <v>Mar-2024</v>
      </c>
      <c r="J174">
        <f t="shared" si="8"/>
        <v>11</v>
      </c>
      <c r="K174" t="s">
        <v>9</v>
      </c>
      <c r="L174" t="s">
        <v>358</v>
      </c>
    </row>
    <row r="175" spans="1:12" x14ac:dyDescent="0.35">
      <c r="A175" t="s">
        <v>359</v>
      </c>
      <c r="B175" t="s">
        <v>34</v>
      </c>
      <c r="C175" t="s">
        <v>55</v>
      </c>
      <c r="D175">
        <v>1</v>
      </c>
      <c r="E175">
        <v>202483.14</v>
      </c>
      <c r="F175">
        <v>202483.14</v>
      </c>
      <c r="G175" s="1">
        <v>45688</v>
      </c>
      <c r="H175">
        <f t="shared" si="6"/>
        <v>2025</v>
      </c>
      <c r="I175" s="3" t="str">
        <f t="shared" si="7"/>
        <v>Jan-2025</v>
      </c>
      <c r="J175">
        <f t="shared" si="8"/>
        <v>5</v>
      </c>
      <c r="K175" t="s">
        <v>9</v>
      </c>
      <c r="L175" t="s">
        <v>360</v>
      </c>
    </row>
    <row r="176" spans="1:12" x14ac:dyDescent="0.35">
      <c r="A176" t="s">
        <v>361</v>
      </c>
      <c r="B176" t="s">
        <v>85</v>
      </c>
      <c r="C176" t="s">
        <v>55</v>
      </c>
      <c r="D176">
        <v>83</v>
      </c>
      <c r="E176">
        <v>58351.81</v>
      </c>
      <c r="F176">
        <v>4843200.2299999995</v>
      </c>
      <c r="G176" s="1">
        <v>45786</v>
      </c>
      <c r="H176">
        <f t="shared" si="6"/>
        <v>2025</v>
      </c>
      <c r="I176" s="3" t="str">
        <f t="shared" si="7"/>
        <v>May-2025</v>
      </c>
      <c r="J176">
        <f t="shared" si="8"/>
        <v>19</v>
      </c>
      <c r="K176" t="s">
        <v>9</v>
      </c>
      <c r="L176" t="s">
        <v>362</v>
      </c>
    </row>
    <row r="177" spans="1:12" x14ac:dyDescent="0.35">
      <c r="A177" t="s">
        <v>363</v>
      </c>
      <c r="B177" t="s">
        <v>16</v>
      </c>
      <c r="C177" t="s">
        <v>17</v>
      </c>
      <c r="D177">
        <v>31</v>
      </c>
      <c r="E177">
        <v>183480.87</v>
      </c>
      <c r="F177">
        <v>5687906.9699999997</v>
      </c>
      <c r="G177" s="1">
        <v>45386</v>
      </c>
      <c r="H177">
        <f t="shared" si="6"/>
        <v>2024</v>
      </c>
      <c r="I177" s="3" t="str">
        <f t="shared" si="7"/>
        <v>Apr-2024</v>
      </c>
      <c r="J177">
        <f t="shared" si="8"/>
        <v>14</v>
      </c>
      <c r="K177" t="s">
        <v>13</v>
      </c>
      <c r="L177" t="s">
        <v>364</v>
      </c>
    </row>
    <row r="178" spans="1:12" x14ac:dyDescent="0.35">
      <c r="A178" t="s">
        <v>365</v>
      </c>
      <c r="B178" t="s">
        <v>58</v>
      </c>
      <c r="C178" t="s">
        <v>23</v>
      </c>
      <c r="D178">
        <v>1</v>
      </c>
      <c r="E178">
        <v>191798.38</v>
      </c>
      <c r="F178">
        <v>191798.38</v>
      </c>
      <c r="G178" s="1">
        <v>45427</v>
      </c>
      <c r="H178">
        <f t="shared" si="6"/>
        <v>2024</v>
      </c>
      <c r="I178" s="3" t="str">
        <f t="shared" si="7"/>
        <v>May-2024</v>
      </c>
      <c r="J178">
        <f t="shared" si="8"/>
        <v>20</v>
      </c>
      <c r="K178" t="s">
        <v>47</v>
      </c>
      <c r="L178" t="s">
        <v>366</v>
      </c>
    </row>
    <row r="179" spans="1:12" x14ac:dyDescent="0.35">
      <c r="A179" t="s">
        <v>367</v>
      </c>
      <c r="B179" t="s">
        <v>61</v>
      </c>
      <c r="C179" t="s">
        <v>23</v>
      </c>
      <c r="D179">
        <v>26</v>
      </c>
      <c r="E179">
        <v>121944.37</v>
      </c>
      <c r="F179">
        <v>3170553.62</v>
      </c>
      <c r="G179" s="1">
        <v>45219</v>
      </c>
      <c r="H179">
        <f t="shared" si="6"/>
        <v>2023</v>
      </c>
      <c r="I179" s="3" t="str">
        <f t="shared" si="7"/>
        <v>Oct-2023</v>
      </c>
      <c r="J179">
        <f t="shared" si="8"/>
        <v>42</v>
      </c>
      <c r="K179" t="s">
        <v>47</v>
      </c>
      <c r="L179" t="s">
        <v>368</v>
      </c>
    </row>
    <row r="180" spans="1:12" x14ac:dyDescent="0.35">
      <c r="A180" t="s">
        <v>369</v>
      </c>
      <c r="B180" t="s">
        <v>42</v>
      </c>
      <c r="C180" t="s">
        <v>23</v>
      </c>
      <c r="D180">
        <v>78</v>
      </c>
      <c r="E180">
        <v>128597.12</v>
      </c>
      <c r="F180">
        <v>10030575.359999999</v>
      </c>
      <c r="G180" s="1">
        <v>45708</v>
      </c>
      <c r="H180">
        <f t="shared" si="6"/>
        <v>2025</v>
      </c>
      <c r="I180" s="3" t="str">
        <f t="shared" si="7"/>
        <v>Feb-2025</v>
      </c>
      <c r="J180">
        <f t="shared" si="8"/>
        <v>8</v>
      </c>
      <c r="K180" t="s">
        <v>47</v>
      </c>
      <c r="L180" t="s">
        <v>370</v>
      </c>
    </row>
    <row r="181" spans="1:12" x14ac:dyDescent="0.35">
      <c r="A181" t="s">
        <v>371</v>
      </c>
      <c r="B181" t="s">
        <v>53</v>
      </c>
      <c r="C181" t="s">
        <v>27</v>
      </c>
      <c r="D181">
        <v>1</v>
      </c>
      <c r="E181">
        <v>98714.03</v>
      </c>
      <c r="F181">
        <v>98714.03</v>
      </c>
      <c r="G181" s="1">
        <v>45405</v>
      </c>
      <c r="H181">
        <f t="shared" si="6"/>
        <v>2024</v>
      </c>
      <c r="I181" s="3" t="str">
        <f t="shared" si="7"/>
        <v>Apr-2024</v>
      </c>
      <c r="J181">
        <f t="shared" si="8"/>
        <v>17</v>
      </c>
      <c r="K181" t="s">
        <v>47</v>
      </c>
      <c r="L181" t="s">
        <v>372</v>
      </c>
    </row>
    <row r="182" spans="1:12" x14ac:dyDescent="0.35">
      <c r="A182" t="s">
        <v>373</v>
      </c>
      <c r="B182" t="s">
        <v>34</v>
      </c>
      <c r="C182" t="s">
        <v>46</v>
      </c>
      <c r="D182">
        <v>10</v>
      </c>
      <c r="E182">
        <v>0</v>
      </c>
      <c r="F182">
        <v>0</v>
      </c>
      <c r="G182" s="1">
        <v>45517</v>
      </c>
      <c r="H182">
        <f t="shared" si="6"/>
        <v>2024</v>
      </c>
      <c r="I182" s="3" t="str">
        <f t="shared" si="7"/>
        <v>Aug-2024</v>
      </c>
      <c r="J182">
        <f t="shared" si="8"/>
        <v>33</v>
      </c>
      <c r="K182" t="s">
        <v>47</v>
      </c>
      <c r="L182" t="s">
        <v>374</v>
      </c>
    </row>
    <row r="183" spans="1:12" x14ac:dyDescent="0.35">
      <c r="A183" t="s">
        <v>375</v>
      </c>
      <c r="B183" t="s">
        <v>53</v>
      </c>
      <c r="C183" t="s">
        <v>27</v>
      </c>
      <c r="D183">
        <v>1</v>
      </c>
      <c r="E183">
        <v>120549.56</v>
      </c>
      <c r="F183">
        <v>120549.56</v>
      </c>
      <c r="G183" s="1">
        <v>45554</v>
      </c>
      <c r="H183">
        <f t="shared" si="6"/>
        <v>2024</v>
      </c>
      <c r="I183" s="3" t="str">
        <f t="shared" si="7"/>
        <v>Sep-2024</v>
      </c>
      <c r="J183">
        <f t="shared" si="8"/>
        <v>38</v>
      </c>
      <c r="K183" t="s">
        <v>47</v>
      </c>
      <c r="L183" t="s">
        <v>376</v>
      </c>
    </row>
    <row r="184" spans="1:12" x14ac:dyDescent="0.35">
      <c r="A184" t="s">
        <v>1047</v>
      </c>
      <c r="B184" t="s">
        <v>131</v>
      </c>
      <c r="C184" t="s">
        <v>55</v>
      </c>
      <c r="D184">
        <v>1</v>
      </c>
      <c r="E184">
        <v>29067.84</v>
      </c>
      <c r="F184">
        <v>29067.84</v>
      </c>
      <c r="G184" s="1">
        <v>45200</v>
      </c>
      <c r="H184">
        <f t="shared" si="6"/>
        <v>2023</v>
      </c>
      <c r="I184" s="3" t="str">
        <f t="shared" si="7"/>
        <v>Oct-2023</v>
      </c>
      <c r="J184">
        <f t="shared" si="8"/>
        <v>40</v>
      </c>
      <c r="K184" t="s">
        <v>47</v>
      </c>
      <c r="L184" t="s">
        <v>1112</v>
      </c>
    </row>
    <row r="185" spans="1:12" x14ac:dyDescent="0.35">
      <c r="A185" t="s">
        <v>377</v>
      </c>
      <c r="B185" t="s">
        <v>105</v>
      </c>
      <c r="C185" t="s">
        <v>46</v>
      </c>
      <c r="D185">
        <v>1</v>
      </c>
      <c r="E185">
        <v>294514.71999999997</v>
      </c>
      <c r="F185">
        <v>294514.71999999997</v>
      </c>
      <c r="G185" s="1">
        <v>45365</v>
      </c>
      <c r="H185">
        <f t="shared" si="6"/>
        <v>2024</v>
      </c>
      <c r="I185" s="3" t="str">
        <f t="shared" si="7"/>
        <v>Mar-2024</v>
      </c>
      <c r="J185">
        <f t="shared" si="8"/>
        <v>11</v>
      </c>
      <c r="K185" t="s">
        <v>28</v>
      </c>
      <c r="L185" t="s">
        <v>378</v>
      </c>
    </row>
    <row r="186" spans="1:12" x14ac:dyDescent="0.35">
      <c r="A186" t="s">
        <v>379</v>
      </c>
      <c r="B186" t="s">
        <v>109</v>
      </c>
      <c r="C186" t="s">
        <v>12</v>
      </c>
      <c r="D186">
        <v>1</v>
      </c>
      <c r="E186">
        <v>143497.5</v>
      </c>
      <c r="F186">
        <v>143497.5</v>
      </c>
      <c r="G186" s="1">
        <v>45305</v>
      </c>
      <c r="H186">
        <f t="shared" si="6"/>
        <v>2024</v>
      </c>
      <c r="I186" s="3" t="str">
        <f t="shared" si="7"/>
        <v>Jan-2024</v>
      </c>
      <c r="J186">
        <f t="shared" si="8"/>
        <v>3</v>
      </c>
      <c r="K186" t="s">
        <v>13</v>
      </c>
      <c r="L186" t="s">
        <v>380</v>
      </c>
    </row>
    <row r="187" spans="1:12" x14ac:dyDescent="0.35">
      <c r="A187" t="s">
        <v>381</v>
      </c>
      <c r="B187" t="s">
        <v>76</v>
      </c>
      <c r="C187" t="s">
        <v>27</v>
      </c>
      <c r="D187">
        <v>1</v>
      </c>
      <c r="E187">
        <v>280779.7</v>
      </c>
      <c r="F187">
        <v>280779.7</v>
      </c>
      <c r="G187" s="1">
        <v>45480</v>
      </c>
      <c r="H187">
        <f t="shared" si="6"/>
        <v>2024</v>
      </c>
      <c r="I187" s="3" t="str">
        <f t="shared" si="7"/>
        <v>Jul-2024</v>
      </c>
      <c r="J187">
        <f t="shared" si="8"/>
        <v>28</v>
      </c>
      <c r="K187" t="s">
        <v>28</v>
      </c>
      <c r="L187" t="s">
        <v>382</v>
      </c>
    </row>
    <row r="188" spans="1:12" x14ac:dyDescent="0.35">
      <c r="A188" t="s">
        <v>383</v>
      </c>
      <c r="B188" t="s">
        <v>58</v>
      </c>
      <c r="C188" t="s">
        <v>27</v>
      </c>
      <c r="D188">
        <v>1</v>
      </c>
      <c r="E188">
        <v>2545.62</v>
      </c>
      <c r="F188">
        <v>2545.62</v>
      </c>
      <c r="G188" s="1">
        <v>45213</v>
      </c>
      <c r="H188">
        <f t="shared" si="6"/>
        <v>2023</v>
      </c>
      <c r="I188" s="3" t="str">
        <f t="shared" si="7"/>
        <v>Oct-2023</v>
      </c>
      <c r="J188">
        <f t="shared" si="8"/>
        <v>41</v>
      </c>
      <c r="K188" t="s">
        <v>28</v>
      </c>
      <c r="L188" t="s">
        <v>384</v>
      </c>
    </row>
    <row r="189" spans="1:12" x14ac:dyDescent="0.35">
      <c r="A189" t="s">
        <v>385</v>
      </c>
      <c r="B189" t="s">
        <v>76</v>
      </c>
      <c r="C189" t="s">
        <v>17</v>
      </c>
      <c r="D189">
        <v>1</v>
      </c>
      <c r="E189">
        <v>115380.53</v>
      </c>
      <c r="F189">
        <v>115380.53</v>
      </c>
      <c r="G189" s="1">
        <v>45325</v>
      </c>
      <c r="H189">
        <f t="shared" si="6"/>
        <v>2024</v>
      </c>
      <c r="I189" s="3" t="str">
        <f t="shared" si="7"/>
        <v>Feb-2024</v>
      </c>
      <c r="J189">
        <f t="shared" si="8"/>
        <v>5</v>
      </c>
      <c r="K189" t="s">
        <v>47</v>
      </c>
      <c r="L189" t="s">
        <v>386</v>
      </c>
    </row>
    <row r="190" spans="1:12" x14ac:dyDescent="0.35">
      <c r="A190" t="s">
        <v>387</v>
      </c>
      <c r="B190" t="s">
        <v>31</v>
      </c>
      <c r="C190" t="s">
        <v>23</v>
      </c>
      <c r="D190">
        <v>1</v>
      </c>
      <c r="E190">
        <v>134297.29</v>
      </c>
      <c r="F190">
        <v>134297.29</v>
      </c>
      <c r="G190" s="1">
        <v>45467</v>
      </c>
      <c r="H190">
        <f t="shared" si="6"/>
        <v>2024</v>
      </c>
      <c r="I190" s="3" t="str">
        <f t="shared" si="7"/>
        <v>Jun-2024</v>
      </c>
      <c r="J190">
        <f t="shared" si="8"/>
        <v>26</v>
      </c>
      <c r="K190" t="s">
        <v>47</v>
      </c>
      <c r="L190" t="s">
        <v>388</v>
      </c>
    </row>
    <row r="191" spans="1:12" x14ac:dyDescent="0.35">
      <c r="A191" t="s">
        <v>389</v>
      </c>
      <c r="B191" t="s">
        <v>20</v>
      </c>
      <c r="C191" t="s">
        <v>23</v>
      </c>
      <c r="D191">
        <v>41</v>
      </c>
      <c r="E191">
        <v>80464.800000000003</v>
      </c>
      <c r="F191">
        <v>3299056.8000000003</v>
      </c>
      <c r="G191" s="1">
        <v>45310</v>
      </c>
      <c r="H191">
        <f t="shared" si="6"/>
        <v>2024</v>
      </c>
      <c r="I191" s="3" t="str">
        <f t="shared" si="7"/>
        <v>Jan-2024</v>
      </c>
      <c r="J191">
        <f t="shared" si="8"/>
        <v>3</v>
      </c>
      <c r="K191" t="s">
        <v>47</v>
      </c>
      <c r="L191" t="s">
        <v>390</v>
      </c>
    </row>
    <row r="192" spans="1:12" x14ac:dyDescent="0.35">
      <c r="A192" t="s">
        <v>391</v>
      </c>
      <c r="B192" t="s">
        <v>20</v>
      </c>
      <c r="C192" t="s">
        <v>46</v>
      </c>
      <c r="D192">
        <v>57</v>
      </c>
      <c r="E192">
        <v>0</v>
      </c>
      <c r="F192">
        <v>0</v>
      </c>
      <c r="G192" s="1">
        <v>45227</v>
      </c>
      <c r="H192">
        <f t="shared" si="6"/>
        <v>2023</v>
      </c>
      <c r="I192" s="3" t="str">
        <f t="shared" si="7"/>
        <v>Oct-2023</v>
      </c>
      <c r="J192">
        <f t="shared" si="8"/>
        <v>43</v>
      </c>
      <c r="K192" t="s">
        <v>13</v>
      </c>
      <c r="L192" t="s">
        <v>392</v>
      </c>
    </row>
    <row r="193" spans="1:12" x14ac:dyDescent="0.35">
      <c r="A193" t="s">
        <v>393</v>
      </c>
      <c r="B193" t="s">
        <v>37</v>
      </c>
      <c r="C193" t="s">
        <v>27</v>
      </c>
      <c r="D193">
        <v>1</v>
      </c>
      <c r="E193">
        <v>99222.78</v>
      </c>
      <c r="F193">
        <v>99222.78</v>
      </c>
      <c r="G193" s="1">
        <v>45193</v>
      </c>
      <c r="H193">
        <f t="shared" si="6"/>
        <v>2023</v>
      </c>
      <c r="I193" s="3" t="str">
        <f t="shared" si="7"/>
        <v>Sep-2023</v>
      </c>
      <c r="J193">
        <f t="shared" si="8"/>
        <v>39</v>
      </c>
      <c r="K193" t="s">
        <v>9</v>
      </c>
      <c r="L193" t="s">
        <v>394</v>
      </c>
    </row>
    <row r="194" spans="1:12" x14ac:dyDescent="0.35">
      <c r="A194" t="s">
        <v>395</v>
      </c>
      <c r="B194" t="s">
        <v>89</v>
      </c>
      <c r="C194" t="s">
        <v>23</v>
      </c>
      <c r="D194">
        <v>1</v>
      </c>
      <c r="E194">
        <v>174947</v>
      </c>
      <c r="F194">
        <v>174947</v>
      </c>
      <c r="G194" s="1">
        <v>45157</v>
      </c>
      <c r="H194">
        <f t="shared" si="6"/>
        <v>2023</v>
      </c>
      <c r="I194" s="3" t="str">
        <f t="shared" si="7"/>
        <v>Aug-2023</v>
      </c>
      <c r="J194">
        <f t="shared" si="8"/>
        <v>33</v>
      </c>
      <c r="K194" t="s">
        <v>28</v>
      </c>
      <c r="L194" t="s">
        <v>396</v>
      </c>
    </row>
    <row r="195" spans="1:12" x14ac:dyDescent="0.35">
      <c r="A195" t="s">
        <v>397</v>
      </c>
      <c r="B195" t="s">
        <v>11</v>
      </c>
      <c r="C195" t="s">
        <v>27</v>
      </c>
      <c r="D195">
        <v>1</v>
      </c>
      <c r="E195">
        <v>172076.77</v>
      </c>
      <c r="F195">
        <v>172076.77</v>
      </c>
      <c r="G195" s="1">
        <v>45343</v>
      </c>
      <c r="H195">
        <f t="shared" ref="H195:H258" si="9">YEAR(G195)</f>
        <v>2024</v>
      </c>
      <c r="I195" s="3" t="str">
        <f t="shared" ref="I195:I258" si="10">TEXT(G195,"mmm-yyyy")</f>
        <v>Feb-2024</v>
      </c>
      <c r="J195">
        <f t="shared" ref="J195:J258" si="11">WEEKNUM(G195)</f>
        <v>8</v>
      </c>
      <c r="K195" t="s">
        <v>9</v>
      </c>
      <c r="L195" t="s">
        <v>398</v>
      </c>
    </row>
    <row r="196" spans="1:12" x14ac:dyDescent="0.35">
      <c r="A196" t="s">
        <v>399</v>
      </c>
      <c r="B196" t="s">
        <v>79</v>
      </c>
      <c r="C196" t="s">
        <v>55</v>
      </c>
      <c r="D196">
        <v>1</v>
      </c>
      <c r="E196">
        <v>78835.17</v>
      </c>
      <c r="F196">
        <v>78835.17</v>
      </c>
      <c r="G196" s="1">
        <v>45416</v>
      </c>
      <c r="H196">
        <f t="shared" si="9"/>
        <v>2024</v>
      </c>
      <c r="I196" s="3" t="str">
        <f t="shared" si="10"/>
        <v>May-2024</v>
      </c>
      <c r="J196">
        <f t="shared" si="11"/>
        <v>18</v>
      </c>
      <c r="K196" t="s">
        <v>13</v>
      </c>
      <c r="L196" t="s">
        <v>400</v>
      </c>
    </row>
    <row r="197" spans="1:12" x14ac:dyDescent="0.35">
      <c r="A197" t="s">
        <v>1047</v>
      </c>
      <c r="B197" t="s">
        <v>34</v>
      </c>
      <c r="C197" t="s">
        <v>12</v>
      </c>
      <c r="D197">
        <v>65</v>
      </c>
      <c r="E197">
        <v>108185.85</v>
      </c>
      <c r="F197">
        <v>7032080.25</v>
      </c>
      <c r="G197" s="1">
        <v>45789</v>
      </c>
      <c r="H197">
        <f t="shared" si="9"/>
        <v>2025</v>
      </c>
      <c r="I197" s="3" t="str">
        <f t="shared" si="10"/>
        <v>May-2025</v>
      </c>
      <c r="J197">
        <f t="shared" si="11"/>
        <v>20</v>
      </c>
      <c r="K197" t="s">
        <v>28</v>
      </c>
      <c r="L197" t="s">
        <v>401</v>
      </c>
    </row>
    <row r="198" spans="1:12" x14ac:dyDescent="0.35">
      <c r="A198" t="s">
        <v>402</v>
      </c>
      <c r="B198" t="s">
        <v>20</v>
      </c>
      <c r="C198" t="s">
        <v>23</v>
      </c>
      <c r="D198">
        <v>1</v>
      </c>
      <c r="E198">
        <v>71272.62</v>
      </c>
      <c r="F198">
        <v>71272.62</v>
      </c>
      <c r="G198" s="1">
        <v>45595</v>
      </c>
      <c r="H198">
        <f t="shared" si="9"/>
        <v>2024</v>
      </c>
      <c r="I198" s="3" t="str">
        <f t="shared" si="10"/>
        <v>Oct-2024</v>
      </c>
      <c r="J198">
        <f t="shared" si="11"/>
        <v>44</v>
      </c>
      <c r="K198" t="s">
        <v>9</v>
      </c>
      <c r="L198" t="s">
        <v>1113</v>
      </c>
    </row>
    <row r="199" spans="1:12" x14ac:dyDescent="0.35">
      <c r="A199" t="s">
        <v>403</v>
      </c>
      <c r="B199" t="s">
        <v>79</v>
      </c>
      <c r="C199" t="s">
        <v>90</v>
      </c>
      <c r="D199">
        <v>58</v>
      </c>
      <c r="E199">
        <v>200501.94</v>
      </c>
      <c r="F199">
        <v>11629112.52</v>
      </c>
      <c r="G199" s="1">
        <v>45442</v>
      </c>
      <c r="H199">
        <f t="shared" si="9"/>
        <v>2024</v>
      </c>
      <c r="I199" s="3" t="str">
        <f t="shared" si="10"/>
        <v>May-2024</v>
      </c>
      <c r="J199">
        <f t="shared" si="11"/>
        <v>22</v>
      </c>
      <c r="K199" t="s">
        <v>9</v>
      </c>
      <c r="L199" t="s">
        <v>404</v>
      </c>
    </row>
    <row r="200" spans="1:12" x14ac:dyDescent="0.35">
      <c r="A200" t="s">
        <v>405</v>
      </c>
      <c r="B200" t="s">
        <v>20</v>
      </c>
      <c r="C200" t="s">
        <v>12</v>
      </c>
      <c r="D200">
        <v>1</v>
      </c>
      <c r="E200">
        <v>139885.79999999999</v>
      </c>
      <c r="F200">
        <v>139885.79999999999</v>
      </c>
      <c r="G200" s="1">
        <v>45310</v>
      </c>
      <c r="H200">
        <f t="shared" si="9"/>
        <v>2024</v>
      </c>
      <c r="I200" s="3" t="str">
        <f t="shared" si="10"/>
        <v>Jan-2024</v>
      </c>
      <c r="J200">
        <f t="shared" si="11"/>
        <v>3</v>
      </c>
      <c r="K200" t="s">
        <v>47</v>
      </c>
      <c r="L200" t="s">
        <v>406</v>
      </c>
    </row>
    <row r="201" spans="1:12" x14ac:dyDescent="0.35">
      <c r="A201" t="s">
        <v>407</v>
      </c>
      <c r="B201" t="s">
        <v>11</v>
      </c>
      <c r="C201" t="s">
        <v>23</v>
      </c>
      <c r="D201">
        <v>37</v>
      </c>
      <c r="E201">
        <v>48335.19</v>
      </c>
      <c r="F201">
        <v>1788402.03</v>
      </c>
      <c r="G201" s="1">
        <v>45790</v>
      </c>
      <c r="H201">
        <f t="shared" si="9"/>
        <v>2025</v>
      </c>
      <c r="I201" s="3" t="str">
        <f t="shared" si="10"/>
        <v>May-2025</v>
      </c>
      <c r="J201">
        <f t="shared" si="11"/>
        <v>20</v>
      </c>
      <c r="K201" t="s">
        <v>13</v>
      </c>
      <c r="L201" t="s">
        <v>408</v>
      </c>
    </row>
    <row r="202" spans="1:12" x14ac:dyDescent="0.35">
      <c r="A202" t="s">
        <v>409</v>
      </c>
      <c r="B202" t="s">
        <v>37</v>
      </c>
      <c r="C202" t="s">
        <v>90</v>
      </c>
      <c r="D202">
        <v>83</v>
      </c>
      <c r="E202">
        <v>0</v>
      </c>
      <c r="F202">
        <v>0</v>
      </c>
      <c r="G202" s="1">
        <v>45818</v>
      </c>
      <c r="H202">
        <f t="shared" si="9"/>
        <v>2025</v>
      </c>
      <c r="I202" s="3" t="str">
        <f t="shared" si="10"/>
        <v>Jun-2025</v>
      </c>
      <c r="J202">
        <f t="shared" si="11"/>
        <v>24</v>
      </c>
      <c r="K202" t="s">
        <v>13</v>
      </c>
      <c r="L202" t="s">
        <v>410</v>
      </c>
    </row>
    <row r="203" spans="1:12" x14ac:dyDescent="0.35">
      <c r="A203" t="s">
        <v>411</v>
      </c>
      <c r="B203" t="s">
        <v>45</v>
      </c>
      <c r="C203" t="s">
        <v>90</v>
      </c>
      <c r="D203">
        <v>1</v>
      </c>
      <c r="E203">
        <v>205979.05</v>
      </c>
      <c r="F203">
        <v>205979.05</v>
      </c>
      <c r="G203" s="1">
        <v>45242</v>
      </c>
      <c r="H203">
        <f t="shared" si="9"/>
        <v>2023</v>
      </c>
      <c r="I203" s="3" t="str">
        <f t="shared" si="10"/>
        <v>Nov-2023</v>
      </c>
      <c r="J203">
        <f t="shared" si="11"/>
        <v>46</v>
      </c>
      <c r="K203" t="s">
        <v>13</v>
      </c>
      <c r="L203" t="s">
        <v>412</v>
      </c>
    </row>
    <row r="204" spans="1:12" x14ac:dyDescent="0.35">
      <c r="A204" t="s">
        <v>413</v>
      </c>
      <c r="B204" t="s">
        <v>20</v>
      </c>
      <c r="C204" t="s">
        <v>23</v>
      </c>
      <c r="D204">
        <v>1</v>
      </c>
      <c r="E204">
        <v>276970.25</v>
      </c>
      <c r="F204">
        <v>276970.25</v>
      </c>
      <c r="G204" s="1">
        <v>45749</v>
      </c>
      <c r="H204">
        <f t="shared" si="9"/>
        <v>2025</v>
      </c>
      <c r="I204" s="3" t="str">
        <f t="shared" si="10"/>
        <v>Apr-2025</v>
      </c>
      <c r="J204">
        <f t="shared" si="11"/>
        <v>14</v>
      </c>
      <c r="K204" t="s">
        <v>28</v>
      </c>
      <c r="L204" t="s">
        <v>414</v>
      </c>
    </row>
    <row r="205" spans="1:12" x14ac:dyDescent="0.35">
      <c r="A205" t="s">
        <v>415</v>
      </c>
      <c r="B205" t="s">
        <v>37</v>
      </c>
      <c r="C205" t="s">
        <v>12</v>
      </c>
      <c r="D205">
        <v>1</v>
      </c>
      <c r="E205">
        <v>266396.52</v>
      </c>
      <c r="F205">
        <v>266396.52</v>
      </c>
      <c r="G205" s="1">
        <v>45372</v>
      </c>
      <c r="H205">
        <f t="shared" si="9"/>
        <v>2024</v>
      </c>
      <c r="I205" s="3" t="str">
        <f t="shared" si="10"/>
        <v>Mar-2024</v>
      </c>
      <c r="J205">
        <f t="shared" si="11"/>
        <v>12</v>
      </c>
      <c r="K205" t="s">
        <v>47</v>
      </c>
      <c r="L205" t="s">
        <v>416</v>
      </c>
    </row>
    <row r="206" spans="1:12" x14ac:dyDescent="0.35">
      <c r="A206" t="s">
        <v>417</v>
      </c>
      <c r="B206" t="s">
        <v>45</v>
      </c>
      <c r="C206" t="s">
        <v>17</v>
      </c>
      <c r="D206">
        <v>1</v>
      </c>
      <c r="E206">
        <v>231067.39</v>
      </c>
      <c r="F206">
        <v>231067.39</v>
      </c>
      <c r="G206" s="1">
        <v>45843</v>
      </c>
      <c r="H206">
        <f t="shared" si="9"/>
        <v>2025</v>
      </c>
      <c r="I206" s="3" t="str">
        <f t="shared" si="10"/>
        <v>Jul-2025</v>
      </c>
      <c r="J206">
        <f t="shared" si="11"/>
        <v>27</v>
      </c>
      <c r="K206" t="s">
        <v>47</v>
      </c>
      <c r="L206" t="s">
        <v>418</v>
      </c>
    </row>
    <row r="207" spans="1:12" x14ac:dyDescent="0.35">
      <c r="A207" t="s">
        <v>419</v>
      </c>
      <c r="B207" t="s">
        <v>89</v>
      </c>
      <c r="C207" t="s">
        <v>46</v>
      </c>
      <c r="D207">
        <v>1</v>
      </c>
      <c r="E207">
        <v>207241.97</v>
      </c>
      <c r="F207">
        <v>207241.97</v>
      </c>
      <c r="G207" s="1">
        <v>45566</v>
      </c>
      <c r="H207">
        <f t="shared" si="9"/>
        <v>2024</v>
      </c>
      <c r="I207" s="3" t="str">
        <f t="shared" si="10"/>
        <v>Oct-2024</v>
      </c>
      <c r="J207">
        <f t="shared" si="11"/>
        <v>40</v>
      </c>
      <c r="K207" t="s">
        <v>28</v>
      </c>
      <c r="L207" t="s">
        <v>420</v>
      </c>
    </row>
    <row r="208" spans="1:12" x14ac:dyDescent="0.35">
      <c r="A208" t="s">
        <v>421</v>
      </c>
      <c r="B208" t="s">
        <v>37</v>
      </c>
      <c r="C208" t="s">
        <v>90</v>
      </c>
      <c r="D208">
        <v>1</v>
      </c>
      <c r="E208">
        <v>191794.04</v>
      </c>
      <c r="F208">
        <v>191794.04</v>
      </c>
      <c r="G208" s="1">
        <v>45678</v>
      </c>
      <c r="H208">
        <f t="shared" si="9"/>
        <v>2025</v>
      </c>
      <c r="I208" s="3" t="str">
        <f t="shared" si="10"/>
        <v>Jan-2025</v>
      </c>
      <c r="J208">
        <f t="shared" si="11"/>
        <v>4</v>
      </c>
      <c r="K208" t="s">
        <v>13</v>
      </c>
      <c r="L208" t="s">
        <v>422</v>
      </c>
    </row>
    <row r="209" spans="1:12" x14ac:dyDescent="0.35">
      <c r="A209" t="s">
        <v>423</v>
      </c>
      <c r="B209" t="s">
        <v>58</v>
      </c>
      <c r="C209" t="s">
        <v>23</v>
      </c>
      <c r="D209">
        <v>1</v>
      </c>
      <c r="E209">
        <v>282220.37</v>
      </c>
      <c r="F209">
        <v>282220.37</v>
      </c>
      <c r="G209" s="1">
        <v>45360</v>
      </c>
      <c r="H209">
        <f t="shared" si="9"/>
        <v>2024</v>
      </c>
      <c r="I209" s="3" t="str">
        <f t="shared" si="10"/>
        <v>Mar-2024</v>
      </c>
      <c r="J209">
        <f t="shared" si="11"/>
        <v>10</v>
      </c>
      <c r="K209" t="s">
        <v>28</v>
      </c>
      <c r="L209" t="s">
        <v>424</v>
      </c>
    </row>
    <row r="210" spans="1:12" x14ac:dyDescent="0.35">
      <c r="A210" t="s">
        <v>1047</v>
      </c>
      <c r="B210" t="s">
        <v>20</v>
      </c>
      <c r="C210" t="s">
        <v>17</v>
      </c>
      <c r="D210">
        <v>1</v>
      </c>
      <c r="E210">
        <v>110579.4</v>
      </c>
      <c r="F210">
        <v>110579.4</v>
      </c>
      <c r="G210" s="1">
        <v>45265</v>
      </c>
      <c r="H210">
        <f t="shared" si="9"/>
        <v>2023</v>
      </c>
      <c r="I210" s="3" t="str">
        <f t="shared" si="10"/>
        <v>Dec-2023</v>
      </c>
      <c r="J210">
        <f t="shared" si="11"/>
        <v>49</v>
      </c>
      <c r="K210" t="s">
        <v>9</v>
      </c>
      <c r="L210" t="s">
        <v>425</v>
      </c>
    </row>
    <row r="211" spans="1:12" x14ac:dyDescent="0.35">
      <c r="A211" t="s">
        <v>426</v>
      </c>
      <c r="B211" t="s">
        <v>16</v>
      </c>
      <c r="C211" t="s">
        <v>17</v>
      </c>
      <c r="D211">
        <v>65</v>
      </c>
      <c r="E211">
        <v>66644.350000000006</v>
      </c>
      <c r="F211">
        <v>4331882.75</v>
      </c>
      <c r="G211" s="1">
        <v>45710</v>
      </c>
      <c r="H211">
        <f t="shared" si="9"/>
        <v>2025</v>
      </c>
      <c r="I211" s="3" t="str">
        <f t="shared" si="10"/>
        <v>Feb-2025</v>
      </c>
      <c r="J211">
        <f t="shared" si="11"/>
        <v>8</v>
      </c>
      <c r="K211" t="s">
        <v>28</v>
      </c>
      <c r="L211" t="s">
        <v>427</v>
      </c>
    </row>
    <row r="212" spans="1:12" x14ac:dyDescent="0.35">
      <c r="A212" t="s">
        <v>428</v>
      </c>
      <c r="B212" t="s">
        <v>213</v>
      </c>
      <c r="C212" t="s">
        <v>17</v>
      </c>
      <c r="D212">
        <v>1</v>
      </c>
      <c r="E212">
        <v>0</v>
      </c>
      <c r="F212">
        <v>0</v>
      </c>
      <c r="G212" s="1">
        <v>45241</v>
      </c>
      <c r="H212">
        <f t="shared" si="9"/>
        <v>2023</v>
      </c>
      <c r="I212" s="3" t="str">
        <f t="shared" si="10"/>
        <v>Nov-2023</v>
      </c>
      <c r="J212">
        <f t="shared" si="11"/>
        <v>45</v>
      </c>
      <c r="K212" t="s">
        <v>28</v>
      </c>
      <c r="L212" t="s">
        <v>1114</v>
      </c>
    </row>
    <row r="213" spans="1:12" x14ac:dyDescent="0.35">
      <c r="A213" t="s">
        <v>429</v>
      </c>
      <c r="B213" t="s">
        <v>53</v>
      </c>
      <c r="C213" t="s">
        <v>55</v>
      </c>
      <c r="D213">
        <v>1</v>
      </c>
      <c r="E213">
        <v>287229.48</v>
      </c>
      <c r="F213">
        <v>287229.48</v>
      </c>
      <c r="G213" s="1">
        <v>45505</v>
      </c>
      <c r="H213">
        <f t="shared" si="9"/>
        <v>2024</v>
      </c>
      <c r="I213" s="3" t="str">
        <f t="shared" si="10"/>
        <v>Aug-2024</v>
      </c>
      <c r="J213">
        <f t="shared" si="11"/>
        <v>31</v>
      </c>
      <c r="K213" t="s">
        <v>13</v>
      </c>
      <c r="L213" t="s">
        <v>430</v>
      </c>
    </row>
    <row r="214" spans="1:12" x14ac:dyDescent="0.35">
      <c r="A214" t="s">
        <v>431</v>
      </c>
      <c r="B214" t="s">
        <v>34</v>
      </c>
      <c r="C214" t="s">
        <v>12</v>
      </c>
      <c r="D214">
        <v>92</v>
      </c>
      <c r="E214">
        <v>143715.48000000001</v>
      </c>
      <c r="F214">
        <v>13221824.16</v>
      </c>
      <c r="G214" s="1">
        <v>45517</v>
      </c>
      <c r="H214">
        <f t="shared" si="9"/>
        <v>2024</v>
      </c>
      <c r="I214" s="3" t="str">
        <f t="shared" si="10"/>
        <v>Aug-2024</v>
      </c>
      <c r="J214">
        <f t="shared" si="11"/>
        <v>33</v>
      </c>
      <c r="K214" t="s">
        <v>9</v>
      </c>
      <c r="L214" t="s">
        <v>432</v>
      </c>
    </row>
    <row r="215" spans="1:12" x14ac:dyDescent="0.35">
      <c r="A215" t="s">
        <v>433</v>
      </c>
      <c r="B215" t="s">
        <v>26</v>
      </c>
      <c r="C215" t="s">
        <v>90</v>
      </c>
      <c r="D215">
        <v>1</v>
      </c>
      <c r="E215">
        <v>136766.10999999999</v>
      </c>
      <c r="F215">
        <v>136766.10999999999</v>
      </c>
      <c r="G215" s="1">
        <v>45480</v>
      </c>
      <c r="H215">
        <f t="shared" si="9"/>
        <v>2024</v>
      </c>
      <c r="I215" s="3" t="str">
        <f t="shared" si="10"/>
        <v>Jul-2024</v>
      </c>
      <c r="J215">
        <f t="shared" si="11"/>
        <v>28</v>
      </c>
      <c r="K215" t="s">
        <v>13</v>
      </c>
      <c r="L215" t="s">
        <v>434</v>
      </c>
    </row>
    <row r="216" spans="1:12" x14ac:dyDescent="0.35">
      <c r="A216" t="s">
        <v>435</v>
      </c>
      <c r="B216" t="s">
        <v>79</v>
      </c>
      <c r="C216" t="s">
        <v>23</v>
      </c>
      <c r="D216">
        <v>23</v>
      </c>
      <c r="E216">
        <v>296656.96999999997</v>
      </c>
      <c r="F216">
        <v>6823110.3099999996</v>
      </c>
      <c r="G216" s="1">
        <v>45505</v>
      </c>
      <c r="H216">
        <f t="shared" si="9"/>
        <v>2024</v>
      </c>
      <c r="I216" s="3" t="str">
        <f t="shared" si="10"/>
        <v>Aug-2024</v>
      </c>
      <c r="J216">
        <f t="shared" si="11"/>
        <v>31</v>
      </c>
      <c r="K216" t="s">
        <v>9</v>
      </c>
      <c r="L216" t="s">
        <v>436</v>
      </c>
    </row>
    <row r="217" spans="1:12" x14ac:dyDescent="0.35">
      <c r="A217" t="s">
        <v>437</v>
      </c>
      <c r="B217" t="s">
        <v>79</v>
      </c>
      <c r="C217" t="s">
        <v>17</v>
      </c>
      <c r="D217">
        <v>1</v>
      </c>
      <c r="E217">
        <v>112400.64</v>
      </c>
      <c r="F217">
        <v>112400.64</v>
      </c>
      <c r="G217" s="1">
        <v>45800</v>
      </c>
      <c r="H217">
        <f t="shared" si="9"/>
        <v>2025</v>
      </c>
      <c r="I217" s="3" t="str">
        <f t="shared" si="10"/>
        <v>May-2025</v>
      </c>
      <c r="J217">
        <f t="shared" si="11"/>
        <v>21</v>
      </c>
      <c r="K217" t="s">
        <v>9</v>
      </c>
      <c r="L217" t="s">
        <v>438</v>
      </c>
    </row>
    <row r="218" spans="1:12" x14ac:dyDescent="0.35">
      <c r="A218" t="s">
        <v>439</v>
      </c>
      <c r="B218" t="s">
        <v>213</v>
      </c>
      <c r="C218" t="s">
        <v>46</v>
      </c>
      <c r="D218">
        <v>1</v>
      </c>
      <c r="E218">
        <v>210731.25</v>
      </c>
      <c r="F218">
        <v>210731.25</v>
      </c>
      <c r="G218" s="1">
        <v>45357</v>
      </c>
      <c r="H218">
        <f t="shared" si="9"/>
        <v>2024</v>
      </c>
      <c r="I218" s="3" t="str">
        <f t="shared" si="10"/>
        <v>Mar-2024</v>
      </c>
      <c r="J218">
        <f t="shared" si="11"/>
        <v>10</v>
      </c>
      <c r="K218" t="s">
        <v>9</v>
      </c>
      <c r="L218" t="s">
        <v>440</v>
      </c>
    </row>
    <row r="219" spans="1:12" x14ac:dyDescent="0.35">
      <c r="A219" t="s">
        <v>441</v>
      </c>
      <c r="B219" t="s">
        <v>20</v>
      </c>
      <c r="C219" t="s">
        <v>46</v>
      </c>
      <c r="D219">
        <v>1</v>
      </c>
      <c r="E219">
        <v>273882.67</v>
      </c>
      <c r="F219">
        <v>273882.67</v>
      </c>
      <c r="G219" s="1">
        <v>45504</v>
      </c>
      <c r="H219">
        <f t="shared" si="9"/>
        <v>2024</v>
      </c>
      <c r="I219" s="3" t="str">
        <f t="shared" si="10"/>
        <v>Jul-2024</v>
      </c>
      <c r="J219">
        <f t="shared" si="11"/>
        <v>31</v>
      </c>
      <c r="K219" t="s">
        <v>13</v>
      </c>
      <c r="L219" t="s">
        <v>442</v>
      </c>
    </row>
    <row r="220" spans="1:12" x14ac:dyDescent="0.35">
      <c r="A220" t="s">
        <v>1049</v>
      </c>
      <c r="B220" t="s">
        <v>213</v>
      </c>
      <c r="C220" t="s">
        <v>70</v>
      </c>
      <c r="D220">
        <v>79</v>
      </c>
      <c r="E220">
        <v>227326.48</v>
      </c>
      <c r="F220">
        <v>17958791.920000002</v>
      </c>
      <c r="G220" s="1">
        <v>45136</v>
      </c>
      <c r="H220">
        <f t="shared" si="9"/>
        <v>2023</v>
      </c>
      <c r="I220" s="3" t="str">
        <f t="shared" si="10"/>
        <v>Jul-2023</v>
      </c>
      <c r="J220">
        <f t="shared" si="11"/>
        <v>30</v>
      </c>
      <c r="K220" t="s">
        <v>9</v>
      </c>
      <c r="L220" t="s">
        <v>443</v>
      </c>
    </row>
    <row r="221" spans="1:12" x14ac:dyDescent="0.35">
      <c r="A221" t="s">
        <v>444</v>
      </c>
      <c r="B221" t="s">
        <v>42</v>
      </c>
      <c r="C221" t="s">
        <v>17</v>
      </c>
      <c r="D221">
        <v>1</v>
      </c>
      <c r="E221">
        <v>240697.5</v>
      </c>
      <c r="F221">
        <v>240697.5</v>
      </c>
      <c r="G221" s="1">
        <v>45187</v>
      </c>
      <c r="H221">
        <f t="shared" si="9"/>
        <v>2023</v>
      </c>
      <c r="I221" s="3" t="str">
        <f t="shared" si="10"/>
        <v>Sep-2023</v>
      </c>
      <c r="J221">
        <f t="shared" si="11"/>
        <v>38</v>
      </c>
      <c r="K221" t="s">
        <v>47</v>
      </c>
      <c r="L221" t="s">
        <v>445</v>
      </c>
    </row>
    <row r="222" spans="1:12" x14ac:dyDescent="0.35">
      <c r="A222" t="s">
        <v>446</v>
      </c>
      <c r="B222" t="s">
        <v>53</v>
      </c>
      <c r="C222" t="s">
        <v>46</v>
      </c>
      <c r="D222">
        <v>1</v>
      </c>
      <c r="E222">
        <v>0</v>
      </c>
      <c r="F222">
        <v>0</v>
      </c>
      <c r="G222" s="1">
        <v>45423</v>
      </c>
      <c r="H222">
        <f t="shared" si="9"/>
        <v>2024</v>
      </c>
      <c r="I222" s="3" t="str">
        <f t="shared" si="10"/>
        <v>May-2024</v>
      </c>
      <c r="J222">
        <f t="shared" si="11"/>
        <v>19</v>
      </c>
      <c r="K222" t="s">
        <v>47</v>
      </c>
      <c r="L222" t="s">
        <v>447</v>
      </c>
    </row>
    <row r="223" spans="1:12" x14ac:dyDescent="0.35">
      <c r="A223" t="s">
        <v>1047</v>
      </c>
      <c r="B223" t="s">
        <v>31</v>
      </c>
      <c r="C223" t="s">
        <v>90</v>
      </c>
      <c r="D223">
        <v>1</v>
      </c>
      <c r="E223">
        <v>247768.25</v>
      </c>
      <c r="F223">
        <v>247768.25</v>
      </c>
      <c r="G223" s="1">
        <v>45510</v>
      </c>
      <c r="H223">
        <f t="shared" si="9"/>
        <v>2024</v>
      </c>
      <c r="I223" s="3" t="str">
        <f t="shared" si="10"/>
        <v>Aug-2024</v>
      </c>
      <c r="J223">
        <f t="shared" si="11"/>
        <v>32</v>
      </c>
      <c r="K223" t="s">
        <v>47</v>
      </c>
      <c r="L223" t="s">
        <v>448</v>
      </c>
    </row>
    <row r="224" spans="1:12" x14ac:dyDescent="0.35">
      <c r="A224" t="s">
        <v>449</v>
      </c>
      <c r="B224" t="s">
        <v>31</v>
      </c>
      <c r="C224" t="s">
        <v>12</v>
      </c>
      <c r="D224">
        <v>1</v>
      </c>
      <c r="E224">
        <v>228676.96</v>
      </c>
      <c r="F224">
        <v>228676.96</v>
      </c>
      <c r="G224" s="1">
        <v>45473</v>
      </c>
      <c r="H224">
        <f t="shared" si="9"/>
        <v>2024</v>
      </c>
      <c r="I224" s="3" t="str">
        <f t="shared" si="10"/>
        <v>Jun-2024</v>
      </c>
      <c r="J224">
        <f t="shared" si="11"/>
        <v>27</v>
      </c>
      <c r="K224" t="s">
        <v>47</v>
      </c>
      <c r="L224" t="s">
        <v>450</v>
      </c>
    </row>
    <row r="225" spans="1:12" x14ac:dyDescent="0.35">
      <c r="A225" t="s">
        <v>451</v>
      </c>
      <c r="B225" t="s">
        <v>42</v>
      </c>
      <c r="C225" t="s">
        <v>12</v>
      </c>
      <c r="D225">
        <v>1</v>
      </c>
      <c r="E225">
        <v>204262.41</v>
      </c>
      <c r="F225">
        <v>204262.41</v>
      </c>
      <c r="G225" s="1">
        <v>45304</v>
      </c>
      <c r="H225">
        <f t="shared" si="9"/>
        <v>2024</v>
      </c>
      <c r="I225" s="3" t="str">
        <f t="shared" si="10"/>
        <v>Jan-2024</v>
      </c>
      <c r="J225">
        <f t="shared" si="11"/>
        <v>2</v>
      </c>
      <c r="K225" t="s">
        <v>47</v>
      </c>
      <c r="L225" t="s">
        <v>452</v>
      </c>
    </row>
    <row r="226" spans="1:12" x14ac:dyDescent="0.35">
      <c r="A226" t="s">
        <v>453</v>
      </c>
      <c r="B226" t="s">
        <v>109</v>
      </c>
      <c r="C226" t="s">
        <v>23</v>
      </c>
      <c r="D226">
        <v>1</v>
      </c>
      <c r="E226">
        <v>178946.43</v>
      </c>
      <c r="F226">
        <v>178946.43</v>
      </c>
      <c r="G226" s="1">
        <v>45285</v>
      </c>
      <c r="H226">
        <f t="shared" si="9"/>
        <v>2023</v>
      </c>
      <c r="I226" s="3" t="str">
        <f t="shared" si="10"/>
        <v>Dec-2023</v>
      </c>
      <c r="J226">
        <f t="shared" si="11"/>
        <v>52</v>
      </c>
      <c r="K226" t="s">
        <v>47</v>
      </c>
      <c r="L226" t="s">
        <v>1115</v>
      </c>
    </row>
    <row r="227" spans="1:12" x14ac:dyDescent="0.35">
      <c r="A227" t="s">
        <v>454</v>
      </c>
      <c r="B227" t="s">
        <v>42</v>
      </c>
      <c r="C227" t="s">
        <v>46</v>
      </c>
      <c r="D227">
        <v>1</v>
      </c>
      <c r="E227">
        <v>236317.52</v>
      </c>
      <c r="F227">
        <v>236317.52</v>
      </c>
      <c r="G227" s="1">
        <v>45571</v>
      </c>
      <c r="H227">
        <f t="shared" si="9"/>
        <v>2024</v>
      </c>
      <c r="I227" s="3" t="str">
        <f t="shared" si="10"/>
        <v>Oct-2024</v>
      </c>
      <c r="J227">
        <f t="shared" si="11"/>
        <v>41</v>
      </c>
      <c r="K227" t="s">
        <v>13</v>
      </c>
      <c r="L227" t="s">
        <v>455</v>
      </c>
    </row>
    <row r="228" spans="1:12" x14ac:dyDescent="0.35">
      <c r="A228" t="s">
        <v>456</v>
      </c>
      <c r="B228" t="s">
        <v>42</v>
      </c>
      <c r="C228" t="s">
        <v>27</v>
      </c>
      <c r="D228">
        <v>1</v>
      </c>
      <c r="E228">
        <v>157889.24</v>
      </c>
      <c r="F228">
        <v>157889.24</v>
      </c>
      <c r="G228" s="1">
        <v>45392</v>
      </c>
      <c r="H228">
        <f t="shared" si="9"/>
        <v>2024</v>
      </c>
      <c r="I228" s="3" t="str">
        <f t="shared" si="10"/>
        <v>Apr-2024</v>
      </c>
      <c r="J228">
        <f t="shared" si="11"/>
        <v>15</v>
      </c>
      <c r="K228" t="s">
        <v>47</v>
      </c>
      <c r="L228" t="s">
        <v>457</v>
      </c>
    </row>
    <row r="229" spans="1:12" x14ac:dyDescent="0.35">
      <c r="A229" t="s">
        <v>458</v>
      </c>
      <c r="B229" t="s">
        <v>76</v>
      </c>
      <c r="C229" t="s">
        <v>46</v>
      </c>
      <c r="D229">
        <v>1</v>
      </c>
      <c r="E229">
        <v>158687.85</v>
      </c>
      <c r="F229">
        <v>158687.85</v>
      </c>
      <c r="G229" s="1">
        <v>45155</v>
      </c>
      <c r="H229">
        <f t="shared" si="9"/>
        <v>2023</v>
      </c>
      <c r="I229" s="3" t="str">
        <f t="shared" si="10"/>
        <v>Aug-2023</v>
      </c>
      <c r="J229">
        <f t="shared" si="11"/>
        <v>33</v>
      </c>
      <c r="K229" t="s">
        <v>28</v>
      </c>
      <c r="L229" t="s">
        <v>459</v>
      </c>
    </row>
    <row r="230" spans="1:12" x14ac:dyDescent="0.35">
      <c r="A230" t="s">
        <v>460</v>
      </c>
      <c r="B230" t="s">
        <v>45</v>
      </c>
      <c r="C230" t="s">
        <v>70</v>
      </c>
      <c r="D230">
        <v>1</v>
      </c>
      <c r="E230">
        <v>108854.57</v>
      </c>
      <c r="F230">
        <v>108854.57</v>
      </c>
      <c r="G230" s="1">
        <v>45157</v>
      </c>
      <c r="H230">
        <f t="shared" si="9"/>
        <v>2023</v>
      </c>
      <c r="I230" s="3" t="str">
        <f t="shared" si="10"/>
        <v>Aug-2023</v>
      </c>
      <c r="J230">
        <f t="shared" si="11"/>
        <v>33</v>
      </c>
      <c r="K230" t="s">
        <v>28</v>
      </c>
      <c r="L230" t="s">
        <v>461</v>
      </c>
    </row>
    <row r="231" spans="1:12" x14ac:dyDescent="0.35">
      <c r="A231" t="s">
        <v>462</v>
      </c>
      <c r="B231" t="s">
        <v>31</v>
      </c>
      <c r="C231" t="s">
        <v>27</v>
      </c>
      <c r="D231">
        <v>1</v>
      </c>
      <c r="E231">
        <v>275214.78999999998</v>
      </c>
      <c r="F231">
        <v>275214.78999999998</v>
      </c>
      <c r="G231" s="1">
        <v>45336</v>
      </c>
      <c r="H231">
        <f t="shared" si="9"/>
        <v>2024</v>
      </c>
      <c r="I231" s="3" t="str">
        <f t="shared" si="10"/>
        <v>Feb-2024</v>
      </c>
      <c r="J231">
        <f t="shared" si="11"/>
        <v>7</v>
      </c>
      <c r="K231" t="s">
        <v>47</v>
      </c>
      <c r="L231" t="s">
        <v>463</v>
      </c>
    </row>
    <row r="232" spans="1:12" x14ac:dyDescent="0.35">
      <c r="A232" t="s">
        <v>464</v>
      </c>
      <c r="B232" t="s">
        <v>45</v>
      </c>
      <c r="C232" t="s">
        <v>70</v>
      </c>
      <c r="D232">
        <v>78</v>
      </c>
      <c r="E232">
        <v>0</v>
      </c>
      <c r="F232">
        <v>0</v>
      </c>
      <c r="G232" s="1">
        <v>45502</v>
      </c>
      <c r="H232">
        <f t="shared" si="9"/>
        <v>2024</v>
      </c>
      <c r="I232" s="3" t="str">
        <f t="shared" si="10"/>
        <v>Jul-2024</v>
      </c>
      <c r="J232">
        <f t="shared" si="11"/>
        <v>31</v>
      </c>
      <c r="K232" t="s">
        <v>28</v>
      </c>
      <c r="L232" t="s">
        <v>465</v>
      </c>
    </row>
    <row r="233" spans="1:12" x14ac:dyDescent="0.35">
      <c r="A233" t="s">
        <v>466</v>
      </c>
      <c r="B233" t="s">
        <v>105</v>
      </c>
      <c r="C233" t="s">
        <v>17</v>
      </c>
      <c r="D233">
        <v>43</v>
      </c>
      <c r="E233">
        <v>34106.53</v>
      </c>
      <c r="F233">
        <v>1466580.79</v>
      </c>
      <c r="G233" s="1">
        <v>45582</v>
      </c>
      <c r="H233">
        <f t="shared" si="9"/>
        <v>2024</v>
      </c>
      <c r="I233" s="3" t="str">
        <f t="shared" si="10"/>
        <v>Oct-2024</v>
      </c>
      <c r="J233">
        <f t="shared" si="11"/>
        <v>42</v>
      </c>
      <c r="K233" t="s">
        <v>47</v>
      </c>
      <c r="L233" t="s">
        <v>467</v>
      </c>
    </row>
    <row r="234" spans="1:12" x14ac:dyDescent="0.35">
      <c r="A234" t="s">
        <v>468</v>
      </c>
      <c r="B234" t="s">
        <v>89</v>
      </c>
      <c r="C234" t="s">
        <v>17</v>
      </c>
      <c r="D234">
        <v>1</v>
      </c>
      <c r="E234">
        <v>248717.83</v>
      </c>
      <c r="F234">
        <v>248717.83</v>
      </c>
      <c r="G234" s="1">
        <v>45803</v>
      </c>
      <c r="H234">
        <f t="shared" si="9"/>
        <v>2025</v>
      </c>
      <c r="I234" s="3" t="str">
        <f t="shared" si="10"/>
        <v>May-2025</v>
      </c>
      <c r="J234">
        <f t="shared" si="11"/>
        <v>22</v>
      </c>
      <c r="K234" t="s">
        <v>47</v>
      </c>
      <c r="L234" t="s">
        <v>469</v>
      </c>
    </row>
    <row r="235" spans="1:12" x14ac:dyDescent="0.35">
      <c r="A235" t="s">
        <v>470</v>
      </c>
      <c r="B235" t="s">
        <v>31</v>
      </c>
      <c r="C235" t="s">
        <v>23</v>
      </c>
      <c r="D235">
        <v>1</v>
      </c>
      <c r="E235">
        <v>270915</v>
      </c>
      <c r="F235">
        <v>270915</v>
      </c>
      <c r="G235" s="1">
        <v>45772</v>
      </c>
      <c r="H235">
        <f t="shared" si="9"/>
        <v>2025</v>
      </c>
      <c r="I235" s="3" t="str">
        <f t="shared" si="10"/>
        <v>Apr-2025</v>
      </c>
      <c r="J235">
        <f t="shared" si="11"/>
        <v>17</v>
      </c>
      <c r="K235" t="s">
        <v>28</v>
      </c>
      <c r="L235" t="s">
        <v>471</v>
      </c>
    </row>
    <row r="236" spans="1:12" x14ac:dyDescent="0.35">
      <c r="A236" t="s">
        <v>1047</v>
      </c>
      <c r="B236" t="s">
        <v>20</v>
      </c>
      <c r="C236" t="s">
        <v>70</v>
      </c>
      <c r="D236">
        <v>1</v>
      </c>
      <c r="E236">
        <v>61045.96</v>
      </c>
      <c r="F236">
        <v>61045.96</v>
      </c>
      <c r="G236" s="1">
        <v>45626</v>
      </c>
      <c r="H236">
        <f t="shared" si="9"/>
        <v>2024</v>
      </c>
      <c r="I236" s="3" t="str">
        <f t="shared" si="10"/>
        <v>Nov-2024</v>
      </c>
      <c r="J236">
        <f t="shared" si="11"/>
        <v>48</v>
      </c>
      <c r="K236" t="s">
        <v>28</v>
      </c>
      <c r="L236" t="s">
        <v>472</v>
      </c>
    </row>
    <row r="237" spans="1:12" x14ac:dyDescent="0.35">
      <c r="A237" t="s">
        <v>473</v>
      </c>
      <c r="B237" t="s">
        <v>53</v>
      </c>
      <c r="C237" t="s">
        <v>23</v>
      </c>
      <c r="D237">
        <v>1</v>
      </c>
      <c r="E237">
        <v>161229.72</v>
      </c>
      <c r="F237">
        <v>161229.72</v>
      </c>
      <c r="G237" s="1">
        <v>45640</v>
      </c>
      <c r="H237">
        <f t="shared" si="9"/>
        <v>2024</v>
      </c>
      <c r="I237" s="3" t="str">
        <f t="shared" si="10"/>
        <v>Dec-2024</v>
      </c>
      <c r="J237">
        <f t="shared" si="11"/>
        <v>50</v>
      </c>
      <c r="K237" t="s">
        <v>9</v>
      </c>
      <c r="L237" t="s">
        <v>474</v>
      </c>
    </row>
    <row r="238" spans="1:12" x14ac:dyDescent="0.35">
      <c r="A238" t="s">
        <v>475</v>
      </c>
      <c r="B238" t="s">
        <v>53</v>
      </c>
      <c r="C238" t="s">
        <v>90</v>
      </c>
      <c r="D238">
        <v>51</v>
      </c>
      <c r="E238">
        <v>49778.879999999997</v>
      </c>
      <c r="F238">
        <v>2538722.88</v>
      </c>
      <c r="G238" s="1">
        <v>45483</v>
      </c>
      <c r="H238">
        <f t="shared" si="9"/>
        <v>2024</v>
      </c>
      <c r="I238" s="3" t="str">
        <f t="shared" si="10"/>
        <v>Jul-2024</v>
      </c>
      <c r="J238">
        <f t="shared" si="11"/>
        <v>28</v>
      </c>
      <c r="K238" t="s">
        <v>47</v>
      </c>
      <c r="L238" t="s">
        <v>476</v>
      </c>
    </row>
    <row r="239" spans="1:12" x14ac:dyDescent="0.35">
      <c r="A239" t="s">
        <v>477</v>
      </c>
      <c r="B239" t="s">
        <v>34</v>
      </c>
      <c r="C239" t="s">
        <v>46</v>
      </c>
      <c r="D239">
        <v>1</v>
      </c>
      <c r="E239">
        <v>256418.56</v>
      </c>
      <c r="F239">
        <v>256418.56</v>
      </c>
      <c r="G239" s="1">
        <v>45339</v>
      </c>
      <c r="H239">
        <f t="shared" si="9"/>
        <v>2024</v>
      </c>
      <c r="I239" s="3" t="str">
        <f t="shared" si="10"/>
        <v>Feb-2024</v>
      </c>
      <c r="J239">
        <f t="shared" si="11"/>
        <v>7</v>
      </c>
      <c r="K239" t="s">
        <v>47</v>
      </c>
      <c r="L239" t="s">
        <v>478</v>
      </c>
    </row>
    <row r="240" spans="1:12" x14ac:dyDescent="0.35">
      <c r="A240" t="s">
        <v>1050</v>
      </c>
      <c r="B240" t="s">
        <v>76</v>
      </c>
      <c r="C240" t="s">
        <v>27</v>
      </c>
      <c r="D240">
        <v>1</v>
      </c>
      <c r="E240">
        <v>132831.25</v>
      </c>
      <c r="F240">
        <v>132831.25</v>
      </c>
      <c r="G240" s="1">
        <v>45534</v>
      </c>
      <c r="H240">
        <f t="shared" si="9"/>
        <v>2024</v>
      </c>
      <c r="I240" s="3" t="str">
        <f t="shared" si="10"/>
        <v>Aug-2024</v>
      </c>
      <c r="J240">
        <f t="shared" si="11"/>
        <v>35</v>
      </c>
      <c r="K240" t="s">
        <v>28</v>
      </c>
      <c r="L240" t="s">
        <v>1116</v>
      </c>
    </row>
    <row r="241" spans="1:12" x14ac:dyDescent="0.35">
      <c r="A241" t="s">
        <v>479</v>
      </c>
      <c r="B241" t="s">
        <v>26</v>
      </c>
      <c r="C241" t="s">
        <v>27</v>
      </c>
      <c r="D241">
        <v>1</v>
      </c>
      <c r="E241">
        <v>204248.42</v>
      </c>
      <c r="F241">
        <v>204248.42</v>
      </c>
      <c r="G241" s="1">
        <v>45124</v>
      </c>
      <c r="H241">
        <f t="shared" si="9"/>
        <v>2023</v>
      </c>
      <c r="I241" s="3" t="str">
        <f t="shared" si="10"/>
        <v>Jul-2023</v>
      </c>
      <c r="J241">
        <f t="shared" si="11"/>
        <v>29</v>
      </c>
      <c r="K241" t="s">
        <v>47</v>
      </c>
      <c r="L241" t="s">
        <v>480</v>
      </c>
    </row>
    <row r="242" spans="1:12" x14ac:dyDescent="0.35">
      <c r="A242" t="s">
        <v>481</v>
      </c>
      <c r="B242" t="s">
        <v>42</v>
      </c>
      <c r="C242" t="s">
        <v>23</v>
      </c>
      <c r="D242">
        <v>1</v>
      </c>
      <c r="E242">
        <v>0</v>
      </c>
      <c r="F242">
        <v>0</v>
      </c>
      <c r="G242" s="1">
        <v>45776</v>
      </c>
      <c r="H242">
        <f t="shared" si="9"/>
        <v>2025</v>
      </c>
      <c r="I242" s="3" t="str">
        <f t="shared" si="10"/>
        <v>Apr-2025</v>
      </c>
      <c r="J242">
        <f t="shared" si="11"/>
        <v>18</v>
      </c>
      <c r="K242" t="s">
        <v>28</v>
      </c>
      <c r="L242" t="s">
        <v>482</v>
      </c>
    </row>
    <row r="243" spans="1:12" x14ac:dyDescent="0.35">
      <c r="A243" t="s">
        <v>1051</v>
      </c>
      <c r="B243" t="s">
        <v>85</v>
      </c>
      <c r="C243" t="s">
        <v>46</v>
      </c>
      <c r="D243">
        <v>1</v>
      </c>
      <c r="E243">
        <v>215216.93</v>
      </c>
      <c r="F243">
        <v>215216.93</v>
      </c>
      <c r="G243" s="1">
        <v>45201</v>
      </c>
      <c r="H243">
        <f t="shared" si="9"/>
        <v>2023</v>
      </c>
      <c r="I243" s="3" t="str">
        <f t="shared" si="10"/>
        <v>Oct-2023</v>
      </c>
      <c r="J243">
        <f t="shared" si="11"/>
        <v>40</v>
      </c>
      <c r="K243" t="s">
        <v>28</v>
      </c>
      <c r="L243" t="s">
        <v>483</v>
      </c>
    </row>
    <row r="244" spans="1:12" x14ac:dyDescent="0.35">
      <c r="A244" t="s">
        <v>484</v>
      </c>
      <c r="B244" t="s">
        <v>16</v>
      </c>
      <c r="C244" t="s">
        <v>12</v>
      </c>
      <c r="D244">
        <v>1</v>
      </c>
      <c r="E244">
        <v>146903.98000000001</v>
      </c>
      <c r="F244">
        <v>146903.98000000001</v>
      </c>
      <c r="G244" s="1">
        <v>45452</v>
      </c>
      <c r="H244">
        <f t="shared" si="9"/>
        <v>2024</v>
      </c>
      <c r="I244" s="3" t="str">
        <f t="shared" si="10"/>
        <v>Jun-2024</v>
      </c>
      <c r="J244">
        <f t="shared" si="11"/>
        <v>24</v>
      </c>
      <c r="K244" t="s">
        <v>9</v>
      </c>
      <c r="L244" t="s">
        <v>485</v>
      </c>
    </row>
    <row r="245" spans="1:12" x14ac:dyDescent="0.35">
      <c r="A245" t="s">
        <v>486</v>
      </c>
      <c r="B245" t="s">
        <v>76</v>
      </c>
      <c r="C245" t="s">
        <v>27</v>
      </c>
      <c r="D245">
        <v>1</v>
      </c>
      <c r="E245">
        <v>269717.36</v>
      </c>
      <c r="F245">
        <v>269717.36</v>
      </c>
      <c r="G245" s="1">
        <v>45222</v>
      </c>
      <c r="H245">
        <f t="shared" si="9"/>
        <v>2023</v>
      </c>
      <c r="I245" s="3" t="str">
        <f t="shared" si="10"/>
        <v>Oct-2023</v>
      </c>
      <c r="J245">
        <f t="shared" si="11"/>
        <v>43</v>
      </c>
      <c r="K245" t="s">
        <v>47</v>
      </c>
      <c r="L245" t="s">
        <v>487</v>
      </c>
    </row>
    <row r="246" spans="1:12" x14ac:dyDescent="0.35">
      <c r="A246" t="s">
        <v>488</v>
      </c>
      <c r="B246" t="s">
        <v>20</v>
      </c>
      <c r="C246" t="s">
        <v>12</v>
      </c>
      <c r="D246">
        <v>1</v>
      </c>
      <c r="E246">
        <v>133922.07</v>
      </c>
      <c r="F246">
        <v>133922.07</v>
      </c>
      <c r="G246" s="1">
        <v>45803</v>
      </c>
      <c r="H246">
        <f t="shared" si="9"/>
        <v>2025</v>
      </c>
      <c r="I246" s="3" t="str">
        <f t="shared" si="10"/>
        <v>May-2025</v>
      </c>
      <c r="J246">
        <f t="shared" si="11"/>
        <v>22</v>
      </c>
      <c r="K246" t="s">
        <v>47</v>
      </c>
      <c r="L246" t="s">
        <v>489</v>
      </c>
    </row>
    <row r="247" spans="1:12" x14ac:dyDescent="0.35">
      <c r="A247" t="s">
        <v>490</v>
      </c>
      <c r="B247" t="s">
        <v>37</v>
      </c>
      <c r="C247" t="s">
        <v>46</v>
      </c>
      <c r="D247">
        <v>1</v>
      </c>
      <c r="E247">
        <v>17162.919999999998</v>
      </c>
      <c r="F247">
        <v>17162.919999999998</v>
      </c>
      <c r="G247" s="1">
        <v>45323</v>
      </c>
      <c r="H247">
        <f t="shared" si="9"/>
        <v>2024</v>
      </c>
      <c r="I247" s="3" t="str">
        <f t="shared" si="10"/>
        <v>Feb-2024</v>
      </c>
      <c r="J247">
        <f t="shared" si="11"/>
        <v>5</v>
      </c>
      <c r="K247" t="s">
        <v>13</v>
      </c>
      <c r="L247" t="s">
        <v>491</v>
      </c>
    </row>
    <row r="248" spans="1:12" x14ac:dyDescent="0.35">
      <c r="A248" t="s">
        <v>492</v>
      </c>
      <c r="B248" t="s">
        <v>76</v>
      </c>
      <c r="C248" t="s">
        <v>12</v>
      </c>
      <c r="D248">
        <v>1</v>
      </c>
      <c r="E248">
        <v>40017.33</v>
      </c>
      <c r="F248">
        <v>40017.33</v>
      </c>
      <c r="G248" s="1">
        <v>45683</v>
      </c>
      <c r="H248">
        <f t="shared" si="9"/>
        <v>2025</v>
      </c>
      <c r="I248" s="3" t="str">
        <f t="shared" si="10"/>
        <v>Jan-2025</v>
      </c>
      <c r="J248">
        <f t="shared" si="11"/>
        <v>5</v>
      </c>
      <c r="K248" t="s">
        <v>9</v>
      </c>
      <c r="L248" t="s">
        <v>493</v>
      </c>
    </row>
    <row r="249" spans="1:12" x14ac:dyDescent="0.35">
      <c r="A249" t="s">
        <v>1047</v>
      </c>
      <c r="B249" t="s">
        <v>34</v>
      </c>
      <c r="C249" t="s">
        <v>90</v>
      </c>
      <c r="D249">
        <v>1</v>
      </c>
      <c r="E249">
        <v>124919.66</v>
      </c>
      <c r="F249">
        <v>124919.66</v>
      </c>
      <c r="G249" s="1">
        <v>45402</v>
      </c>
      <c r="H249">
        <f t="shared" si="9"/>
        <v>2024</v>
      </c>
      <c r="I249" s="3" t="str">
        <f t="shared" si="10"/>
        <v>Apr-2024</v>
      </c>
      <c r="J249">
        <f t="shared" si="11"/>
        <v>16</v>
      </c>
      <c r="K249" t="s">
        <v>47</v>
      </c>
      <c r="L249" t="s">
        <v>494</v>
      </c>
    </row>
    <row r="250" spans="1:12" x14ac:dyDescent="0.35">
      <c r="A250" t="s">
        <v>495</v>
      </c>
      <c r="B250" t="s">
        <v>31</v>
      </c>
      <c r="C250" t="s">
        <v>70</v>
      </c>
      <c r="D250">
        <v>40</v>
      </c>
      <c r="E250">
        <v>169391.4</v>
      </c>
      <c r="F250">
        <v>6775656</v>
      </c>
      <c r="G250" s="1">
        <v>45711</v>
      </c>
      <c r="H250">
        <f t="shared" si="9"/>
        <v>2025</v>
      </c>
      <c r="I250" s="3" t="str">
        <f t="shared" si="10"/>
        <v>Feb-2025</v>
      </c>
      <c r="J250">
        <f t="shared" si="11"/>
        <v>9</v>
      </c>
      <c r="K250" t="s">
        <v>9</v>
      </c>
      <c r="L250" t="s">
        <v>496</v>
      </c>
    </row>
    <row r="251" spans="1:12" x14ac:dyDescent="0.35">
      <c r="A251" t="s">
        <v>497</v>
      </c>
      <c r="B251" t="s">
        <v>45</v>
      </c>
      <c r="C251" t="s">
        <v>17</v>
      </c>
      <c r="D251">
        <v>1</v>
      </c>
      <c r="E251">
        <v>167859.76</v>
      </c>
      <c r="F251">
        <v>167859.76</v>
      </c>
      <c r="G251" s="1">
        <v>45431</v>
      </c>
      <c r="H251">
        <f t="shared" si="9"/>
        <v>2024</v>
      </c>
      <c r="I251" s="3" t="str">
        <f t="shared" si="10"/>
        <v>May-2024</v>
      </c>
      <c r="J251">
        <f t="shared" si="11"/>
        <v>21</v>
      </c>
      <c r="K251" t="s">
        <v>47</v>
      </c>
      <c r="L251" t="s">
        <v>498</v>
      </c>
    </row>
    <row r="252" spans="1:12" x14ac:dyDescent="0.35">
      <c r="A252" t="s">
        <v>499</v>
      </c>
      <c r="B252" t="s">
        <v>34</v>
      </c>
      <c r="C252" t="s">
        <v>17</v>
      </c>
      <c r="D252">
        <v>1</v>
      </c>
      <c r="E252">
        <v>0</v>
      </c>
      <c r="F252">
        <v>0</v>
      </c>
      <c r="G252" s="1">
        <v>45402</v>
      </c>
      <c r="H252">
        <f t="shared" si="9"/>
        <v>2024</v>
      </c>
      <c r="I252" s="3" t="str">
        <f t="shared" si="10"/>
        <v>Apr-2024</v>
      </c>
      <c r="J252">
        <f t="shared" si="11"/>
        <v>16</v>
      </c>
      <c r="K252" t="s">
        <v>47</v>
      </c>
      <c r="L252" t="s">
        <v>500</v>
      </c>
    </row>
    <row r="253" spans="1:12" x14ac:dyDescent="0.35">
      <c r="A253" t="s">
        <v>501</v>
      </c>
      <c r="B253" t="s">
        <v>11</v>
      </c>
      <c r="C253" t="s">
        <v>23</v>
      </c>
      <c r="D253">
        <v>25</v>
      </c>
      <c r="E253">
        <v>201993.93</v>
      </c>
      <c r="F253">
        <v>5049848.25</v>
      </c>
      <c r="G253" s="1">
        <v>45153</v>
      </c>
      <c r="H253">
        <f t="shared" si="9"/>
        <v>2023</v>
      </c>
      <c r="I253" s="3" t="str">
        <f t="shared" si="10"/>
        <v>Aug-2023</v>
      </c>
      <c r="J253">
        <f t="shared" si="11"/>
        <v>33</v>
      </c>
      <c r="K253" t="s">
        <v>13</v>
      </c>
      <c r="L253" t="s">
        <v>502</v>
      </c>
    </row>
    <row r="254" spans="1:12" x14ac:dyDescent="0.35">
      <c r="A254" t="s">
        <v>503</v>
      </c>
      <c r="B254" t="s">
        <v>37</v>
      </c>
      <c r="C254" t="s">
        <v>90</v>
      </c>
      <c r="D254">
        <v>18</v>
      </c>
      <c r="E254">
        <v>92796.78</v>
      </c>
      <c r="F254">
        <v>1670342.04</v>
      </c>
      <c r="G254" s="1">
        <v>45429</v>
      </c>
      <c r="H254">
        <f t="shared" si="9"/>
        <v>2024</v>
      </c>
      <c r="I254" s="3" t="str">
        <f t="shared" si="10"/>
        <v>May-2024</v>
      </c>
      <c r="J254">
        <f t="shared" si="11"/>
        <v>20</v>
      </c>
      <c r="K254" t="s">
        <v>13</v>
      </c>
      <c r="L254" t="s">
        <v>1117</v>
      </c>
    </row>
    <row r="255" spans="1:12" x14ac:dyDescent="0.35">
      <c r="A255" t="s">
        <v>504</v>
      </c>
      <c r="B255" t="s">
        <v>20</v>
      </c>
      <c r="C255" t="s">
        <v>27</v>
      </c>
      <c r="D255">
        <v>1</v>
      </c>
      <c r="E255">
        <v>7020.25</v>
      </c>
      <c r="F255">
        <v>7020.25</v>
      </c>
      <c r="G255" s="1">
        <v>45157</v>
      </c>
      <c r="H255">
        <f t="shared" si="9"/>
        <v>2023</v>
      </c>
      <c r="I255" s="3" t="str">
        <f t="shared" si="10"/>
        <v>Aug-2023</v>
      </c>
      <c r="J255">
        <f t="shared" si="11"/>
        <v>33</v>
      </c>
      <c r="K255" t="s">
        <v>47</v>
      </c>
      <c r="L255" t="s">
        <v>505</v>
      </c>
    </row>
    <row r="256" spans="1:12" x14ac:dyDescent="0.35">
      <c r="A256" t="s">
        <v>506</v>
      </c>
      <c r="B256" t="s">
        <v>85</v>
      </c>
      <c r="C256" t="s">
        <v>23</v>
      </c>
      <c r="D256">
        <v>1</v>
      </c>
      <c r="E256">
        <v>76709.94</v>
      </c>
      <c r="F256">
        <v>76709.94</v>
      </c>
      <c r="G256" s="1">
        <v>45560</v>
      </c>
      <c r="H256">
        <f t="shared" si="9"/>
        <v>2024</v>
      </c>
      <c r="I256" s="3" t="str">
        <f t="shared" si="10"/>
        <v>Sep-2024</v>
      </c>
      <c r="J256">
        <f t="shared" si="11"/>
        <v>39</v>
      </c>
      <c r="K256" t="s">
        <v>28</v>
      </c>
      <c r="L256" t="s">
        <v>507</v>
      </c>
    </row>
    <row r="257" spans="1:12" x14ac:dyDescent="0.35">
      <c r="A257" t="s">
        <v>508</v>
      </c>
      <c r="B257" t="s">
        <v>42</v>
      </c>
      <c r="C257" t="s">
        <v>23</v>
      </c>
      <c r="D257">
        <v>1</v>
      </c>
      <c r="E257">
        <v>1403.13</v>
      </c>
      <c r="F257">
        <v>1403.13</v>
      </c>
      <c r="G257" s="1">
        <v>45554</v>
      </c>
      <c r="H257">
        <f t="shared" si="9"/>
        <v>2024</v>
      </c>
      <c r="I257" s="3" t="str">
        <f t="shared" si="10"/>
        <v>Sep-2024</v>
      </c>
      <c r="J257">
        <f t="shared" si="11"/>
        <v>38</v>
      </c>
      <c r="K257" t="s">
        <v>9</v>
      </c>
      <c r="L257" t="s">
        <v>509</v>
      </c>
    </row>
    <row r="258" spans="1:12" x14ac:dyDescent="0.35">
      <c r="A258" t="s">
        <v>510</v>
      </c>
      <c r="B258" t="s">
        <v>213</v>
      </c>
      <c r="C258" t="s">
        <v>17</v>
      </c>
      <c r="D258">
        <v>1</v>
      </c>
      <c r="E258">
        <v>65761.440000000002</v>
      </c>
      <c r="F258">
        <v>65761.440000000002</v>
      </c>
      <c r="G258" s="1">
        <v>45269</v>
      </c>
      <c r="H258">
        <f t="shared" si="9"/>
        <v>2023</v>
      </c>
      <c r="I258" s="3" t="str">
        <f t="shared" si="10"/>
        <v>Dec-2023</v>
      </c>
      <c r="J258">
        <f t="shared" si="11"/>
        <v>49</v>
      </c>
      <c r="K258" t="s">
        <v>13</v>
      </c>
      <c r="L258" t="s">
        <v>511</v>
      </c>
    </row>
    <row r="259" spans="1:12" x14ac:dyDescent="0.35">
      <c r="A259" t="s">
        <v>512</v>
      </c>
      <c r="B259" t="s">
        <v>213</v>
      </c>
      <c r="C259" t="s">
        <v>46</v>
      </c>
      <c r="D259">
        <v>1</v>
      </c>
      <c r="E259">
        <v>22372.34</v>
      </c>
      <c r="F259">
        <v>22372.34</v>
      </c>
      <c r="G259" s="1">
        <v>45399</v>
      </c>
      <c r="H259">
        <f t="shared" ref="H259:H322" si="12">YEAR(G259)</f>
        <v>2024</v>
      </c>
      <c r="I259" s="3" t="str">
        <f t="shared" ref="I259:I322" si="13">TEXT(G259,"mmm-yyyy")</f>
        <v>Apr-2024</v>
      </c>
      <c r="J259">
        <f t="shared" ref="J259:J322" si="14">WEEKNUM(G259)</f>
        <v>16</v>
      </c>
      <c r="K259" t="s">
        <v>28</v>
      </c>
      <c r="L259" t="s">
        <v>513</v>
      </c>
    </row>
    <row r="260" spans="1:12" x14ac:dyDescent="0.35">
      <c r="A260" t="s">
        <v>514</v>
      </c>
      <c r="B260" t="s">
        <v>53</v>
      </c>
      <c r="C260" t="s">
        <v>27</v>
      </c>
      <c r="D260">
        <v>1</v>
      </c>
      <c r="E260">
        <v>127397.37</v>
      </c>
      <c r="F260">
        <v>127397.37</v>
      </c>
      <c r="G260" s="1">
        <v>45547</v>
      </c>
      <c r="H260">
        <f t="shared" si="12"/>
        <v>2024</v>
      </c>
      <c r="I260" s="3" t="str">
        <f t="shared" si="13"/>
        <v>Sep-2024</v>
      </c>
      <c r="J260">
        <f t="shared" si="14"/>
        <v>37</v>
      </c>
      <c r="K260" t="s">
        <v>47</v>
      </c>
      <c r="L260" t="s">
        <v>515</v>
      </c>
    </row>
    <row r="261" spans="1:12" x14ac:dyDescent="0.35">
      <c r="A261" t="s">
        <v>516</v>
      </c>
      <c r="B261" t="s">
        <v>105</v>
      </c>
      <c r="C261" t="s">
        <v>23</v>
      </c>
      <c r="D261">
        <v>1</v>
      </c>
      <c r="E261">
        <v>210265.27</v>
      </c>
      <c r="F261">
        <v>210265.27</v>
      </c>
      <c r="G261" s="1">
        <v>45342</v>
      </c>
      <c r="H261">
        <f t="shared" si="12"/>
        <v>2024</v>
      </c>
      <c r="I261" s="3" t="str">
        <f t="shared" si="13"/>
        <v>Feb-2024</v>
      </c>
      <c r="J261">
        <f t="shared" si="14"/>
        <v>8</v>
      </c>
      <c r="K261" t="s">
        <v>13</v>
      </c>
      <c r="L261" t="s">
        <v>517</v>
      </c>
    </row>
    <row r="262" spans="1:12" x14ac:dyDescent="0.35">
      <c r="A262" t="s">
        <v>1047</v>
      </c>
      <c r="B262" t="s">
        <v>45</v>
      </c>
      <c r="C262" t="s">
        <v>27</v>
      </c>
      <c r="D262">
        <v>49</v>
      </c>
      <c r="E262">
        <v>0</v>
      </c>
      <c r="F262">
        <v>0</v>
      </c>
      <c r="G262" s="1">
        <v>45175</v>
      </c>
      <c r="H262">
        <f t="shared" si="12"/>
        <v>2023</v>
      </c>
      <c r="I262" s="3" t="str">
        <f t="shared" si="13"/>
        <v>Sep-2023</v>
      </c>
      <c r="J262">
        <f t="shared" si="14"/>
        <v>36</v>
      </c>
      <c r="K262" t="s">
        <v>47</v>
      </c>
      <c r="L262" t="s">
        <v>518</v>
      </c>
    </row>
    <row r="263" spans="1:12" x14ac:dyDescent="0.35">
      <c r="A263" t="s">
        <v>519</v>
      </c>
      <c r="B263" t="s">
        <v>85</v>
      </c>
      <c r="C263" t="s">
        <v>70</v>
      </c>
      <c r="D263">
        <v>21</v>
      </c>
      <c r="E263">
        <v>162578.47</v>
      </c>
      <c r="F263">
        <v>3414147.87</v>
      </c>
      <c r="G263" s="1">
        <v>45418</v>
      </c>
      <c r="H263">
        <f t="shared" si="12"/>
        <v>2024</v>
      </c>
      <c r="I263" s="3" t="str">
        <f t="shared" si="13"/>
        <v>May-2024</v>
      </c>
      <c r="J263">
        <f t="shared" si="14"/>
        <v>19</v>
      </c>
      <c r="K263" t="s">
        <v>28</v>
      </c>
      <c r="L263" t="s">
        <v>520</v>
      </c>
    </row>
    <row r="264" spans="1:12" x14ac:dyDescent="0.35">
      <c r="A264" t="s">
        <v>521</v>
      </c>
      <c r="B264" t="s">
        <v>105</v>
      </c>
      <c r="C264" t="s">
        <v>46</v>
      </c>
      <c r="D264">
        <v>1</v>
      </c>
      <c r="E264">
        <v>18546.560000000001</v>
      </c>
      <c r="F264">
        <v>18546.560000000001</v>
      </c>
      <c r="G264" s="1">
        <v>45509</v>
      </c>
      <c r="H264">
        <f t="shared" si="12"/>
        <v>2024</v>
      </c>
      <c r="I264" s="3" t="str">
        <f t="shared" si="13"/>
        <v>Aug-2024</v>
      </c>
      <c r="J264">
        <f t="shared" si="14"/>
        <v>32</v>
      </c>
      <c r="K264" t="s">
        <v>47</v>
      </c>
      <c r="L264" t="s">
        <v>522</v>
      </c>
    </row>
    <row r="265" spans="1:12" x14ac:dyDescent="0.35">
      <c r="A265" t="s">
        <v>523</v>
      </c>
      <c r="B265" t="s">
        <v>11</v>
      </c>
      <c r="C265" t="s">
        <v>27</v>
      </c>
      <c r="D265">
        <v>1</v>
      </c>
      <c r="E265">
        <v>268318.42</v>
      </c>
      <c r="F265">
        <v>268318.42</v>
      </c>
      <c r="G265" s="1">
        <v>45467</v>
      </c>
      <c r="H265">
        <f t="shared" si="12"/>
        <v>2024</v>
      </c>
      <c r="I265" s="3" t="str">
        <f t="shared" si="13"/>
        <v>Jun-2024</v>
      </c>
      <c r="J265">
        <f t="shared" si="14"/>
        <v>26</v>
      </c>
      <c r="K265" t="s">
        <v>28</v>
      </c>
      <c r="L265" t="s">
        <v>524</v>
      </c>
    </row>
    <row r="266" spans="1:12" x14ac:dyDescent="0.35">
      <c r="A266" t="s">
        <v>1052</v>
      </c>
      <c r="B266" t="s">
        <v>105</v>
      </c>
      <c r="C266" t="s">
        <v>12</v>
      </c>
      <c r="D266">
        <v>57</v>
      </c>
      <c r="E266">
        <v>295848.11</v>
      </c>
      <c r="F266">
        <v>16863342.27</v>
      </c>
      <c r="G266" s="1">
        <v>45711</v>
      </c>
      <c r="H266">
        <f t="shared" si="12"/>
        <v>2025</v>
      </c>
      <c r="I266" s="3" t="str">
        <f t="shared" si="13"/>
        <v>Feb-2025</v>
      </c>
      <c r="J266">
        <f t="shared" si="14"/>
        <v>9</v>
      </c>
      <c r="K266" t="s">
        <v>47</v>
      </c>
      <c r="L266" t="s">
        <v>525</v>
      </c>
    </row>
    <row r="267" spans="1:12" x14ac:dyDescent="0.35">
      <c r="A267" t="s">
        <v>526</v>
      </c>
      <c r="B267" t="s">
        <v>16</v>
      </c>
      <c r="C267" t="s">
        <v>23</v>
      </c>
      <c r="D267">
        <v>1</v>
      </c>
      <c r="E267">
        <v>141885.32</v>
      </c>
      <c r="F267">
        <v>141885.32</v>
      </c>
      <c r="G267" s="1">
        <v>45545</v>
      </c>
      <c r="H267">
        <f t="shared" si="12"/>
        <v>2024</v>
      </c>
      <c r="I267" s="3" t="str">
        <f t="shared" si="13"/>
        <v>Sep-2024</v>
      </c>
      <c r="J267">
        <f t="shared" si="14"/>
        <v>37</v>
      </c>
      <c r="K267" t="s">
        <v>9</v>
      </c>
      <c r="L267" t="s">
        <v>527</v>
      </c>
    </row>
    <row r="268" spans="1:12" x14ac:dyDescent="0.35">
      <c r="A268" t="s">
        <v>528</v>
      </c>
      <c r="B268" t="s">
        <v>76</v>
      </c>
      <c r="C268" t="s">
        <v>12</v>
      </c>
      <c r="D268">
        <v>1</v>
      </c>
      <c r="E268">
        <v>86483.67</v>
      </c>
      <c r="F268">
        <v>86483.67</v>
      </c>
      <c r="G268" s="1">
        <v>45335</v>
      </c>
      <c r="H268">
        <f t="shared" si="12"/>
        <v>2024</v>
      </c>
      <c r="I268" s="3" t="str">
        <f t="shared" si="13"/>
        <v>Feb-2024</v>
      </c>
      <c r="J268">
        <f t="shared" si="14"/>
        <v>7</v>
      </c>
      <c r="K268" t="s">
        <v>13</v>
      </c>
      <c r="L268" t="s">
        <v>1118</v>
      </c>
    </row>
    <row r="269" spans="1:12" x14ac:dyDescent="0.35">
      <c r="A269" t="s">
        <v>529</v>
      </c>
      <c r="B269" t="s">
        <v>131</v>
      </c>
      <c r="C269" t="s">
        <v>46</v>
      </c>
      <c r="D269">
        <v>1</v>
      </c>
      <c r="E269">
        <v>54404.41</v>
      </c>
      <c r="F269">
        <v>54404.41</v>
      </c>
      <c r="G269" s="1">
        <v>45759</v>
      </c>
      <c r="H269">
        <f t="shared" si="12"/>
        <v>2025</v>
      </c>
      <c r="I269" s="3" t="str">
        <f t="shared" si="13"/>
        <v>Apr-2025</v>
      </c>
      <c r="J269">
        <f t="shared" si="14"/>
        <v>15</v>
      </c>
      <c r="K269" t="s">
        <v>13</v>
      </c>
      <c r="L269" s="2" t="s">
        <v>530</v>
      </c>
    </row>
    <row r="270" spans="1:12" x14ac:dyDescent="0.35">
      <c r="A270" t="s">
        <v>531</v>
      </c>
      <c r="B270" t="s">
        <v>42</v>
      </c>
      <c r="C270" t="s">
        <v>90</v>
      </c>
      <c r="D270">
        <v>1</v>
      </c>
      <c r="E270">
        <v>41060.949999999997</v>
      </c>
      <c r="F270">
        <v>41060.949999999997</v>
      </c>
      <c r="G270" s="1">
        <v>45602</v>
      </c>
      <c r="H270">
        <f t="shared" si="12"/>
        <v>2024</v>
      </c>
      <c r="I270" s="3" t="str">
        <f t="shared" si="13"/>
        <v>Nov-2024</v>
      </c>
      <c r="J270">
        <f t="shared" si="14"/>
        <v>45</v>
      </c>
      <c r="K270" t="s">
        <v>28</v>
      </c>
      <c r="L270" t="s">
        <v>532</v>
      </c>
    </row>
    <row r="271" spans="1:12" x14ac:dyDescent="0.35">
      <c r="A271" t="s">
        <v>533</v>
      </c>
      <c r="B271" t="s">
        <v>34</v>
      </c>
      <c r="C271" t="s">
        <v>12</v>
      </c>
      <c r="D271">
        <v>1</v>
      </c>
      <c r="E271">
        <v>192636.74</v>
      </c>
      <c r="F271">
        <v>192636.74</v>
      </c>
      <c r="G271" s="1">
        <v>45646</v>
      </c>
      <c r="H271">
        <f t="shared" si="12"/>
        <v>2024</v>
      </c>
      <c r="I271" s="3" t="str">
        <f t="shared" si="13"/>
        <v>Dec-2024</v>
      </c>
      <c r="J271">
        <f t="shared" si="14"/>
        <v>51</v>
      </c>
      <c r="K271" t="s">
        <v>47</v>
      </c>
      <c r="L271" t="s">
        <v>534</v>
      </c>
    </row>
    <row r="272" spans="1:12" x14ac:dyDescent="0.35">
      <c r="A272" t="s">
        <v>535</v>
      </c>
      <c r="B272" t="s">
        <v>213</v>
      </c>
      <c r="C272" t="s">
        <v>23</v>
      </c>
      <c r="D272">
        <v>58</v>
      </c>
      <c r="E272">
        <v>0</v>
      </c>
      <c r="F272">
        <v>0</v>
      </c>
      <c r="G272" s="1">
        <v>45592</v>
      </c>
      <c r="H272">
        <f t="shared" si="12"/>
        <v>2024</v>
      </c>
      <c r="I272" s="3" t="str">
        <f t="shared" si="13"/>
        <v>Oct-2024</v>
      </c>
      <c r="J272">
        <f t="shared" si="14"/>
        <v>44</v>
      </c>
      <c r="K272" t="s">
        <v>47</v>
      </c>
      <c r="L272" t="s">
        <v>536</v>
      </c>
    </row>
    <row r="273" spans="1:12" x14ac:dyDescent="0.35">
      <c r="A273" t="s">
        <v>537</v>
      </c>
      <c r="B273" t="s">
        <v>26</v>
      </c>
      <c r="C273" t="s">
        <v>23</v>
      </c>
      <c r="D273">
        <v>69</v>
      </c>
      <c r="E273">
        <v>218922.21</v>
      </c>
      <c r="F273">
        <v>15105632.49</v>
      </c>
      <c r="G273" s="1">
        <v>45210</v>
      </c>
      <c r="H273">
        <f t="shared" si="12"/>
        <v>2023</v>
      </c>
      <c r="I273" s="3" t="str">
        <f t="shared" si="13"/>
        <v>Oct-2023</v>
      </c>
      <c r="J273">
        <f t="shared" si="14"/>
        <v>41</v>
      </c>
      <c r="K273" t="s">
        <v>13</v>
      </c>
      <c r="L273" t="s">
        <v>538</v>
      </c>
    </row>
    <row r="274" spans="1:12" x14ac:dyDescent="0.35">
      <c r="A274" t="s">
        <v>539</v>
      </c>
      <c r="B274" t="s">
        <v>53</v>
      </c>
      <c r="C274" t="s">
        <v>17</v>
      </c>
      <c r="D274">
        <v>1</v>
      </c>
      <c r="E274">
        <v>289152.88</v>
      </c>
      <c r="F274">
        <v>289152.88</v>
      </c>
      <c r="G274" s="1">
        <v>45217</v>
      </c>
      <c r="H274">
        <f t="shared" si="12"/>
        <v>2023</v>
      </c>
      <c r="I274" s="3" t="str">
        <f t="shared" si="13"/>
        <v>Oct-2023</v>
      </c>
      <c r="J274">
        <f t="shared" si="14"/>
        <v>42</v>
      </c>
      <c r="K274" t="s">
        <v>47</v>
      </c>
      <c r="L274" t="s">
        <v>540</v>
      </c>
    </row>
    <row r="275" spans="1:12" x14ac:dyDescent="0.35">
      <c r="A275" t="s">
        <v>1047</v>
      </c>
      <c r="B275" t="s">
        <v>131</v>
      </c>
      <c r="C275" t="s">
        <v>46</v>
      </c>
      <c r="D275">
        <v>1</v>
      </c>
      <c r="E275">
        <v>112651.05</v>
      </c>
      <c r="F275">
        <v>112651.05</v>
      </c>
      <c r="G275" s="1">
        <v>45193</v>
      </c>
      <c r="H275">
        <f t="shared" si="12"/>
        <v>2023</v>
      </c>
      <c r="I275" s="3" t="str">
        <f t="shared" si="13"/>
        <v>Sep-2023</v>
      </c>
      <c r="J275">
        <f t="shared" si="14"/>
        <v>39</v>
      </c>
      <c r="K275" t="s">
        <v>47</v>
      </c>
      <c r="L275" t="s">
        <v>541</v>
      </c>
    </row>
    <row r="276" spans="1:12" x14ac:dyDescent="0.35">
      <c r="A276" t="s">
        <v>542</v>
      </c>
      <c r="B276" t="s">
        <v>53</v>
      </c>
      <c r="C276" t="s">
        <v>17</v>
      </c>
      <c r="D276">
        <v>1</v>
      </c>
      <c r="E276">
        <v>267454.40999999997</v>
      </c>
      <c r="F276">
        <v>267454.40999999997</v>
      </c>
      <c r="G276" s="1">
        <v>45423</v>
      </c>
      <c r="H276">
        <f t="shared" si="12"/>
        <v>2024</v>
      </c>
      <c r="I276" s="3" t="str">
        <f t="shared" si="13"/>
        <v>May-2024</v>
      </c>
      <c r="J276">
        <f t="shared" si="14"/>
        <v>19</v>
      </c>
      <c r="K276" t="s">
        <v>9</v>
      </c>
      <c r="L276" t="s">
        <v>543</v>
      </c>
    </row>
    <row r="277" spans="1:12" x14ac:dyDescent="0.35">
      <c r="A277" t="s">
        <v>544</v>
      </c>
      <c r="B277" t="s">
        <v>45</v>
      </c>
      <c r="C277" t="s">
        <v>23</v>
      </c>
      <c r="D277">
        <v>1</v>
      </c>
      <c r="E277">
        <v>134836.87</v>
      </c>
      <c r="F277">
        <v>134836.87</v>
      </c>
      <c r="G277" s="1">
        <v>45407</v>
      </c>
      <c r="H277">
        <f t="shared" si="12"/>
        <v>2024</v>
      </c>
      <c r="I277" s="3" t="str">
        <f t="shared" si="13"/>
        <v>Apr-2024</v>
      </c>
      <c r="J277">
        <f t="shared" si="14"/>
        <v>17</v>
      </c>
      <c r="K277" t="s">
        <v>47</v>
      </c>
      <c r="L277" t="s">
        <v>545</v>
      </c>
    </row>
    <row r="278" spans="1:12" x14ac:dyDescent="0.35">
      <c r="A278" t="s">
        <v>546</v>
      </c>
      <c r="B278" t="s">
        <v>79</v>
      </c>
      <c r="C278" t="s">
        <v>70</v>
      </c>
      <c r="D278">
        <v>1</v>
      </c>
      <c r="E278">
        <v>275175.96999999997</v>
      </c>
      <c r="F278">
        <v>275175.96999999997</v>
      </c>
      <c r="G278" s="1">
        <v>45735</v>
      </c>
      <c r="H278">
        <f t="shared" si="12"/>
        <v>2025</v>
      </c>
      <c r="I278" s="3" t="str">
        <f t="shared" si="13"/>
        <v>Mar-2025</v>
      </c>
      <c r="J278">
        <f t="shared" si="14"/>
        <v>12</v>
      </c>
      <c r="K278" t="s">
        <v>13</v>
      </c>
      <c r="L278" t="s">
        <v>547</v>
      </c>
    </row>
    <row r="279" spans="1:12" x14ac:dyDescent="0.35">
      <c r="A279" t="s">
        <v>548</v>
      </c>
      <c r="B279" t="s">
        <v>34</v>
      </c>
      <c r="C279" t="s">
        <v>23</v>
      </c>
      <c r="D279">
        <v>1</v>
      </c>
      <c r="E279">
        <v>113560.16</v>
      </c>
      <c r="F279">
        <v>113560.16</v>
      </c>
      <c r="G279" s="1">
        <v>45381</v>
      </c>
      <c r="H279">
        <f t="shared" si="12"/>
        <v>2024</v>
      </c>
      <c r="I279" s="3" t="str">
        <f t="shared" si="13"/>
        <v>Mar-2024</v>
      </c>
      <c r="J279">
        <f t="shared" si="14"/>
        <v>13</v>
      </c>
      <c r="K279" t="s">
        <v>9</v>
      </c>
      <c r="L279" t="s">
        <v>549</v>
      </c>
    </row>
    <row r="280" spans="1:12" x14ac:dyDescent="0.35">
      <c r="A280" t="s">
        <v>1053</v>
      </c>
      <c r="B280" t="s">
        <v>45</v>
      </c>
      <c r="C280" t="s">
        <v>17</v>
      </c>
      <c r="D280">
        <v>1</v>
      </c>
      <c r="E280">
        <v>24534.87</v>
      </c>
      <c r="F280">
        <v>24534.87</v>
      </c>
      <c r="G280" s="1">
        <v>45551</v>
      </c>
      <c r="H280">
        <f t="shared" si="12"/>
        <v>2024</v>
      </c>
      <c r="I280" s="3" t="str">
        <f t="shared" si="13"/>
        <v>Sep-2024</v>
      </c>
      <c r="J280">
        <f t="shared" si="14"/>
        <v>38</v>
      </c>
      <c r="K280" t="s">
        <v>47</v>
      </c>
      <c r="L280" t="s">
        <v>550</v>
      </c>
    </row>
    <row r="281" spans="1:12" x14ac:dyDescent="0.35">
      <c r="A281" t="s">
        <v>551</v>
      </c>
      <c r="B281" t="s">
        <v>89</v>
      </c>
      <c r="C281" t="s">
        <v>17</v>
      </c>
      <c r="D281">
        <v>54</v>
      </c>
      <c r="E281">
        <v>289261.24</v>
      </c>
      <c r="F281">
        <v>15620106.959999999</v>
      </c>
      <c r="G281" s="1">
        <v>45847</v>
      </c>
      <c r="H281">
        <f t="shared" si="12"/>
        <v>2025</v>
      </c>
      <c r="I281" s="3" t="str">
        <f t="shared" si="13"/>
        <v>Jul-2025</v>
      </c>
      <c r="J281">
        <f t="shared" si="14"/>
        <v>28</v>
      </c>
      <c r="K281" t="s">
        <v>13</v>
      </c>
      <c r="L281" t="s">
        <v>552</v>
      </c>
    </row>
    <row r="282" spans="1:12" x14ac:dyDescent="0.35">
      <c r="A282" t="s">
        <v>553</v>
      </c>
      <c r="B282" t="s">
        <v>45</v>
      </c>
      <c r="C282" t="s">
        <v>46</v>
      </c>
      <c r="D282">
        <v>1</v>
      </c>
      <c r="E282">
        <v>0</v>
      </c>
      <c r="F282">
        <v>0</v>
      </c>
      <c r="G282" s="1">
        <v>45401</v>
      </c>
      <c r="H282">
        <f t="shared" si="12"/>
        <v>2024</v>
      </c>
      <c r="I282" s="3" t="str">
        <f t="shared" si="13"/>
        <v>Apr-2024</v>
      </c>
      <c r="J282">
        <f t="shared" si="14"/>
        <v>16</v>
      </c>
      <c r="K282" t="s">
        <v>9</v>
      </c>
      <c r="L282" t="s">
        <v>1119</v>
      </c>
    </row>
    <row r="283" spans="1:12" x14ac:dyDescent="0.35">
      <c r="A283" t="s">
        <v>554</v>
      </c>
      <c r="B283" t="s">
        <v>45</v>
      </c>
      <c r="C283" t="s">
        <v>90</v>
      </c>
      <c r="D283">
        <v>1</v>
      </c>
      <c r="E283">
        <v>262428.84000000003</v>
      </c>
      <c r="F283">
        <v>262428.84000000003</v>
      </c>
      <c r="G283" s="1">
        <v>45704</v>
      </c>
      <c r="H283">
        <f t="shared" si="12"/>
        <v>2025</v>
      </c>
      <c r="I283" s="3" t="str">
        <f t="shared" si="13"/>
        <v>Feb-2025</v>
      </c>
      <c r="J283">
        <f t="shared" si="14"/>
        <v>8</v>
      </c>
      <c r="K283" t="s">
        <v>47</v>
      </c>
      <c r="L283" t="s">
        <v>555</v>
      </c>
    </row>
    <row r="284" spans="1:12" x14ac:dyDescent="0.35">
      <c r="A284" t="s">
        <v>556</v>
      </c>
      <c r="B284" t="s">
        <v>79</v>
      </c>
      <c r="C284" t="s">
        <v>70</v>
      </c>
      <c r="D284">
        <v>1</v>
      </c>
      <c r="E284">
        <v>40330.449999999997</v>
      </c>
      <c r="F284">
        <v>40330.449999999997</v>
      </c>
      <c r="G284" s="1">
        <v>45230</v>
      </c>
      <c r="H284">
        <f t="shared" si="12"/>
        <v>2023</v>
      </c>
      <c r="I284" s="3" t="str">
        <f t="shared" si="13"/>
        <v>Oct-2023</v>
      </c>
      <c r="J284">
        <f t="shared" si="14"/>
        <v>44</v>
      </c>
      <c r="K284" t="s">
        <v>13</v>
      </c>
      <c r="L284" t="s">
        <v>557</v>
      </c>
    </row>
    <row r="285" spans="1:12" x14ac:dyDescent="0.35">
      <c r="A285" t="s">
        <v>558</v>
      </c>
      <c r="B285" t="s">
        <v>213</v>
      </c>
      <c r="C285" t="s">
        <v>55</v>
      </c>
      <c r="D285">
        <v>1</v>
      </c>
      <c r="E285">
        <v>258155.83</v>
      </c>
      <c r="F285">
        <v>258155.83</v>
      </c>
      <c r="G285" s="1">
        <v>45272</v>
      </c>
      <c r="H285">
        <f t="shared" si="12"/>
        <v>2023</v>
      </c>
      <c r="I285" s="3" t="str">
        <f t="shared" si="13"/>
        <v>Dec-2023</v>
      </c>
      <c r="J285">
        <f t="shared" si="14"/>
        <v>50</v>
      </c>
      <c r="K285" t="s">
        <v>47</v>
      </c>
      <c r="L285" t="s">
        <v>559</v>
      </c>
    </row>
    <row r="286" spans="1:12" x14ac:dyDescent="0.35">
      <c r="A286" t="s">
        <v>560</v>
      </c>
      <c r="B286" t="s">
        <v>58</v>
      </c>
      <c r="C286" t="s">
        <v>23</v>
      </c>
      <c r="D286">
        <v>71</v>
      </c>
      <c r="E286">
        <v>36030.629999999997</v>
      </c>
      <c r="F286">
        <v>2558174.73</v>
      </c>
      <c r="G286" s="1">
        <v>45585</v>
      </c>
      <c r="H286">
        <f t="shared" si="12"/>
        <v>2024</v>
      </c>
      <c r="I286" s="3" t="str">
        <f t="shared" si="13"/>
        <v>Oct-2024</v>
      </c>
      <c r="J286">
        <f t="shared" si="14"/>
        <v>43</v>
      </c>
      <c r="K286" t="s">
        <v>47</v>
      </c>
      <c r="L286" t="s">
        <v>561</v>
      </c>
    </row>
    <row r="287" spans="1:12" x14ac:dyDescent="0.35">
      <c r="A287" t="s">
        <v>562</v>
      </c>
      <c r="B287" t="s">
        <v>58</v>
      </c>
      <c r="C287" t="s">
        <v>90</v>
      </c>
      <c r="D287">
        <v>1</v>
      </c>
      <c r="E287">
        <v>297857.61</v>
      </c>
      <c r="F287">
        <v>297857.61</v>
      </c>
      <c r="G287" s="1">
        <v>45513</v>
      </c>
      <c r="H287">
        <f t="shared" si="12"/>
        <v>2024</v>
      </c>
      <c r="I287" s="3" t="str">
        <f t="shared" si="13"/>
        <v>Aug-2024</v>
      </c>
      <c r="J287">
        <f t="shared" si="14"/>
        <v>32</v>
      </c>
      <c r="K287" t="s">
        <v>28</v>
      </c>
      <c r="L287" t="s">
        <v>563</v>
      </c>
    </row>
    <row r="288" spans="1:12" x14ac:dyDescent="0.35">
      <c r="A288" t="s">
        <v>1047</v>
      </c>
      <c r="B288" t="s">
        <v>85</v>
      </c>
      <c r="C288" t="s">
        <v>46</v>
      </c>
      <c r="D288">
        <v>1</v>
      </c>
      <c r="E288">
        <v>118221.06</v>
      </c>
      <c r="F288">
        <v>118221.06</v>
      </c>
      <c r="G288" s="1">
        <v>45429</v>
      </c>
      <c r="H288">
        <f t="shared" si="12"/>
        <v>2024</v>
      </c>
      <c r="I288" s="3" t="str">
        <f t="shared" si="13"/>
        <v>May-2024</v>
      </c>
      <c r="J288">
        <f t="shared" si="14"/>
        <v>20</v>
      </c>
      <c r="K288" t="s">
        <v>28</v>
      </c>
      <c r="L288" t="s">
        <v>564</v>
      </c>
    </row>
    <row r="289" spans="1:12" x14ac:dyDescent="0.35">
      <c r="A289" t="s">
        <v>565</v>
      </c>
      <c r="B289" t="s">
        <v>45</v>
      </c>
      <c r="C289" t="s">
        <v>27</v>
      </c>
      <c r="D289">
        <v>11</v>
      </c>
      <c r="E289">
        <v>38640.449999999997</v>
      </c>
      <c r="F289">
        <v>425044.94999999995</v>
      </c>
      <c r="G289" s="1">
        <v>45506</v>
      </c>
      <c r="H289">
        <f t="shared" si="12"/>
        <v>2024</v>
      </c>
      <c r="I289" s="3" t="str">
        <f t="shared" si="13"/>
        <v>Aug-2024</v>
      </c>
      <c r="J289">
        <f t="shared" si="14"/>
        <v>31</v>
      </c>
      <c r="K289" t="s">
        <v>47</v>
      </c>
      <c r="L289" t="s">
        <v>566</v>
      </c>
    </row>
    <row r="290" spans="1:12" x14ac:dyDescent="0.35">
      <c r="A290" t="s">
        <v>567</v>
      </c>
      <c r="B290" t="s">
        <v>58</v>
      </c>
      <c r="C290" t="s">
        <v>90</v>
      </c>
      <c r="D290">
        <v>1</v>
      </c>
      <c r="E290">
        <v>293627.95</v>
      </c>
      <c r="F290">
        <v>293627.95</v>
      </c>
      <c r="G290" s="1">
        <v>45149</v>
      </c>
      <c r="H290">
        <f t="shared" si="12"/>
        <v>2023</v>
      </c>
      <c r="I290" s="3" t="str">
        <f t="shared" si="13"/>
        <v>Aug-2023</v>
      </c>
      <c r="J290">
        <f t="shared" si="14"/>
        <v>32</v>
      </c>
      <c r="K290" t="s">
        <v>47</v>
      </c>
      <c r="L290" t="s">
        <v>568</v>
      </c>
    </row>
    <row r="291" spans="1:12" x14ac:dyDescent="0.35">
      <c r="A291" t="s">
        <v>569</v>
      </c>
      <c r="B291" t="s">
        <v>37</v>
      </c>
      <c r="C291" t="s">
        <v>23</v>
      </c>
      <c r="D291">
        <v>66</v>
      </c>
      <c r="E291">
        <v>250529.07</v>
      </c>
      <c r="F291">
        <v>16534918.620000001</v>
      </c>
      <c r="G291" s="1">
        <v>45153</v>
      </c>
      <c r="H291">
        <f t="shared" si="12"/>
        <v>2023</v>
      </c>
      <c r="I291" s="3" t="str">
        <f t="shared" si="13"/>
        <v>Aug-2023</v>
      </c>
      <c r="J291">
        <f t="shared" si="14"/>
        <v>33</v>
      </c>
      <c r="K291" t="s">
        <v>47</v>
      </c>
      <c r="L291" t="s">
        <v>570</v>
      </c>
    </row>
    <row r="292" spans="1:12" x14ac:dyDescent="0.35">
      <c r="A292" t="s">
        <v>571</v>
      </c>
      <c r="B292" t="s">
        <v>85</v>
      </c>
      <c r="C292" t="s">
        <v>90</v>
      </c>
      <c r="D292">
        <v>56</v>
      </c>
      <c r="E292">
        <v>0</v>
      </c>
      <c r="F292">
        <v>0</v>
      </c>
      <c r="G292" s="1">
        <v>45148</v>
      </c>
      <c r="H292">
        <f t="shared" si="12"/>
        <v>2023</v>
      </c>
      <c r="I292" s="3" t="str">
        <f t="shared" si="13"/>
        <v>Aug-2023</v>
      </c>
      <c r="J292">
        <f t="shared" si="14"/>
        <v>32</v>
      </c>
      <c r="K292" t="s">
        <v>28</v>
      </c>
      <c r="L292" s="2" t="s">
        <v>572</v>
      </c>
    </row>
    <row r="293" spans="1:12" x14ac:dyDescent="0.35">
      <c r="A293" t="s">
        <v>573</v>
      </c>
      <c r="B293" t="s">
        <v>37</v>
      </c>
      <c r="C293" t="s">
        <v>12</v>
      </c>
      <c r="D293">
        <v>1</v>
      </c>
      <c r="E293">
        <v>226975.73</v>
      </c>
      <c r="F293">
        <v>226975.73</v>
      </c>
      <c r="G293" s="1">
        <v>45224</v>
      </c>
      <c r="H293">
        <f t="shared" si="12"/>
        <v>2023</v>
      </c>
      <c r="I293" s="3" t="str">
        <f t="shared" si="13"/>
        <v>Oct-2023</v>
      </c>
      <c r="J293">
        <f t="shared" si="14"/>
        <v>43</v>
      </c>
      <c r="K293" t="s">
        <v>28</v>
      </c>
      <c r="L293" t="s">
        <v>574</v>
      </c>
    </row>
    <row r="294" spans="1:12" x14ac:dyDescent="0.35">
      <c r="A294" t="s">
        <v>575</v>
      </c>
      <c r="B294" t="s">
        <v>61</v>
      </c>
      <c r="C294" t="s">
        <v>17</v>
      </c>
      <c r="D294">
        <v>45</v>
      </c>
      <c r="E294">
        <v>293557.96000000002</v>
      </c>
      <c r="F294">
        <v>13210108.200000001</v>
      </c>
      <c r="G294" s="1">
        <v>45672</v>
      </c>
      <c r="H294">
        <f t="shared" si="12"/>
        <v>2025</v>
      </c>
      <c r="I294" s="3" t="str">
        <f t="shared" si="13"/>
        <v>Jan-2025</v>
      </c>
      <c r="J294">
        <f t="shared" si="14"/>
        <v>3</v>
      </c>
      <c r="K294" t="s">
        <v>47</v>
      </c>
      <c r="L294" t="s">
        <v>576</v>
      </c>
    </row>
    <row r="295" spans="1:12" x14ac:dyDescent="0.35">
      <c r="A295" t="s">
        <v>577</v>
      </c>
      <c r="B295" t="s">
        <v>37</v>
      </c>
      <c r="C295" t="s">
        <v>17</v>
      </c>
      <c r="D295">
        <v>54</v>
      </c>
      <c r="E295">
        <v>139169.67000000001</v>
      </c>
      <c r="F295">
        <v>7515162.1800000006</v>
      </c>
      <c r="G295" s="1">
        <v>45376</v>
      </c>
      <c r="H295">
        <f t="shared" si="12"/>
        <v>2024</v>
      </c>
      <c r="I295" s="3" t="str">
        <f t="shared" si="13"/>
        <v>Mar-2024</v>
      </c>
      <c r="J295">
        <f t="shared" si="14"/>
        <v>13</v>
      </c>
      <c r="K295" t="s">
        <v>28</v>
      </c>
      <c r="L295" t="s">
        <v>578</v>
      </c>
    </row>
    <row r="296" spans="1:12" x14ac:dyDescent="0.35">
      <c r="A296" t="s">
        <v>579</v>
      </c>
      <c r="B296" t="s">
        <v>20</v>
      </c>
      <c r="C296" t="s">
        <v>23</v>
      </c>
      <c r="D296">
        <v>1</v>
      </c>
      <c r="E296">
        <v>215868.65</v>
      </c>
      <c r="F296">
        <v>215868.65</v>
      </c>
      <c r="G296" s="1">
        <v>45742</v>
      </c>
      <c r="H296">
        <f t="shared" si="12"/>
        <v>2025</v>
      </c>
      <c r="I296" s="3" t="str">
        <f t="shared" si="13"/>
        <v>Mar-2025</v>
      </c>
      <c r="J296">
        <f t="shared" si="14"/>
        <v>13</v>
      </c>
      <c r="K296" t="s">
        <v>47</v>
      </c>
      <c r="L296" t="s">
        <v>1120</v>
      </c>
    </row>
    <row r="297" spans="1:12" x14ac:dyDescent="0.35">
      <c r="A297" t="s">
        <v>580</v>
      </c>
      <c r="B297" t="s">
        <v>105</v>
      </c>
      <c r="C297" t="s">
        <v>12</v>
      </c>
      <c r="D297">
        <v>48</v>
      </c>
      <c r="E297">
        <v>127526.34</v>
      </c>
      <c r="F297">
        <v>6121264.3200000003</v>
      </c>
      <c r="G297" s="1">
        <v>45485</v>
      </c>
      <c r="H297">
        <f t="shared" si="12"/>
        <v>2024</v>
      </c>
      <c r="I297" s="3" t="str">
        <f t="shared" si="13"/>
        <v>Jul-2024</v>
      </c>
      <c r="J297">
        <f t="shared" si="14"/>
        <v>28</v>
      </c>
      <c r="K297" t="s">
        <v>47</v>
      </c>
      <c r="L297" t="s">
        <v>581</v>
      </c>
    </row>
    <row r="298" spans="1:12" x14ac:dyDescent="0.35">
      <c r="A298" t="s">
        <v>582</v>
      </c>
      <c r="B298" t="s">
        <v>31</v>
      </c>
      <c r="C298" t="s">
        <v>70</v>
      </c>
      <c r="D298">
        <v>50</v>
      </c>
      <c r="E298">
        <v>114093.3</v>
      </c>
      <c r="F298">
        <v>5704665</v>
      </c>
      <c r="G298" s="1">
        <v>45521</v>
      </c>
      <c r="H298">
        <f t="shared" si="12"/>
        <v>2024</v>
      </c>
      <c r="I298" s="3" t="str">
        <f t="shared" si="13"/>
        <v>Aug-2024</v>
      </c>
      <c r="J298">
        <f t="shared" si="14"/>
        <v>33</v>
      </c>
      <c r="K298" t="s">
        <v>47</v>
      </c>
      <c r="L298" t="s">
        <v>583</v>
      </c>
    </row>
    <row r="299" spans="1:12" x14ac:dyDescent="0.35">
      <c r="A299" t="s">
        <v>584</v>
      </c>
      <c r="B299" t="s">
        <v>79</v>
      </c>
      <c r="C299" t="s">
        <v>17</v>
      </c>
      <c r="D299">
        <v>48</v>
      </c>
      <c r="E299">
        <v>69284.39</v>
      </c>
      <c r="F299">
        <v>3325650.7199999997</v>
      </c>
      <c r="G299" s="1">
        <v>45472</v>
      </c>
      <c r="H299">
        <f t="shared" si="12"/>
        <v>2024</v>
      </c>
      <c r="I299" s="3" t="str">
        <f t="shared" si="13"/>
        <v>Jun-2024</v>
      </c>
      <c r="J299">
        <f t="shared" si="14"/>
        <v>26</v>
      </c>
      <c r="K299" t="s">
        <v>47</v>
      </c>
      <c r="L299" t="s">
        <v>585</v>
      </c>
    </row>
    <row r="300" spans="1:12" x14ac:dyDescent="0.35">
      <c r="A300" t="s">
        <v>486</v>
      </c>
      <c r="B300" t="s">
        <v>20</v>
      </c>
      <c r="C300" t="s">
        <v>46</v>
      </c>
      <c r="D300">
        <v>1</v>
      </c>
      <c r="E300">
        <v>138457.26999999999</v>
      </c>
      <c r="F300">
        <v>138457.26999999999</v>
      </c>
      <c r="G300" s="1">
        <v>45233</v>
      </c>
      <c r="H300">
        <f t="shared" si="12"/>
        <v>2023</v>
      </c>
      <c r="I300" s="3" t="str">
        <f t="shared" si="13"/>
        <v>Nov-2023</v>
      </c>
      <c r="J300">
        <f t="shared" si="14"/>
        <v>44</v>
      </c>
      <c r="K300" t="s">
        <v>28</v>
      </c>
      <c r="L300" t="s">
        <v>586</v>
      </c>
    </row>
    <row r="301" spans="1:12" x14ac:dyDescent="0.35">
      <c r="A301" t="s">
        <v>1047</v>
      </c>
      <c r="B301" t="s">
        <v>79</v>
      </c>
      <c r="C301" t="s">
        <v>17</v>
      </c>
      <c r="D301">
        <v>1</v>
      </c>
      <c r="E301">
        <v>46958.85</v>
      </c>
      <c r="F301">
        <v>46958.85</v>
      </c>
      <c r="G301" s="1">
        <v>45588</v>
      </c>
      <c r="H301">
        <f t="shared" si="12"/>
        <v>2024</v>
      </c>
      <c r="I301" s="3" t="str">
        <f t="shared" si="13"/>
        <v>Oct-2024</v>
      </c>
      <c r="J301">
        <f t="shared" si="14"/>
        <v>43</v>
      </c>
      <c r="K301" t="s">
        <v>13</v>
      </c>
      <c r="L301" t="s">
        <v>587</v>
      </c>
    </row>
    <row r="302" spans="1:12" x14ac:dyDescent="0.35">
      <c r="A302" t="s">
        <v>588</v>
      </c>
      <c r="B302" t="s">
        <v>61</v>
      </c>
      <c r="C302" t="s">
        <v>55</v>
      </c>
      <c r="D302">
        <v>1</v>
      </c>
      <c r="E302">
        <v>0</v>
      </c>
      <c r="F302">
        <v>0</v>
      </c>
      <c r="G302" s="1">
        <v>45811</v>
      </c>
      <c r="H302">
        <f t="shared" si="12"/>
        <v>2025</v>
      </c>
      <c r="I302" s="3" t="str">
        <f t="shared" si="13"/>
        <v>Jun-2025</v>
      </c>
      <c r="J302">
        <f t="shared" si="14"/>
        <v>23</v>
      </c>
      <c r="K302" t="s">
        <v>47</v>
      </c>
      <c r="L302" t="s">
        <v>589</v>
      </c>
    </row>
    <row r="303" spans="1:12" x14ac:dyDescent="0.35">
      <c r="A303" t="s">
        <v>590</v>
      </c>
      <c r="B303" t="s">
        <v>45</v>
      </c>
      <c r="C303" t="s">
        <v>70</v>
      </c>
      <c r="D303">
        <v>19</v>
      </c>
      <c r="E303">
        <v>56949.9</v>
      </c>
      <c r="F303">
        <v>1082048.1000000001</v>
      </c>
      <c r="G303" s="1">
        <v>45518</v>
      </c>
      <c r="H303">
        <f t="shared" si="12"/>
        <v>2024</v>
      </c>
      <c r="I303" s="3" t="str">
        <f t="shared" si="13"/>
        <v>Aug-2024</v>
      </c>
      <c r="J303">
        <f t="shared" si="14"/>
        <v>33</v>
      </c>
      <c r="K303" t="s">
        <v>47</v>
      </c>
      <c r="L303" t="s">
        <v>591</v>
      </c>
    </row>
    <row r="304" spans="1:12" x14ac:dyDescent="0.35">
      <c r="A304" t="s">
        <v>592</v>
      </c>
      <c r="B304" t="s">
        <v>61</v>
      </c>
      <c r="C304" t="s">
        <v>55</v>
      </c>
      <c r="D304">
        <v>1</v>
      </c>
      <c r="E304">
        <v>262624.84999999998</v>
      </c>
      <c r="F304">
        <v>262624.84999999998</v>
      </c>
      <c r="G304" s="1">
        <v>45226</v>
      </c>
      <c r="H304">
        <f t="shared" si="12"/>
        <v>2023</v>
      </c>
      <c r="I304" s="3" t="str">
        <f t="shared" si="13"/>
        <v>Oct-2023</v>
      </c>
      <c r="J304">
        <f t="shared" si="14"/>
        <v>43</v>
      </c>
      <c r="K304" t="s">
        <v>13</v>
      </c>
      <c r="L304" t="s">
        <v>593</v>
      </c>
    </row>
    <row r="305" spans="1:12" x14ac:dyDescent="0.35">
      <c r="A305" t="s">
        <v>594</v>
      </c>
      <c r="B305" t="s">
        <v>37</v>
      </c>
      <c r="C305" t="s">
        <v>55</v>
      </c>
      <c r="D305">
        <v>1</v>
      </c>
      <c r="E305">
        <v>229764.23</v>
      </c>
      <c r="F305">
        <v>229764.23</v>
      </c>
      <c r="G305" s="1">
        <v>45372</v>
      </c>
      <c r="H305">
        <f t="shared" si="12"/>
        <v>2024</v>
      </c>
      <c r="I305" s="3" t="str">
        <f t="shared" si="13"/>
        <v>Mar-2024</v>
      </c>
      <c r="J305">
        <f t="shared" si="14"/>
        <v>12</v>
      </c>
      <c r="K305" t="s">
        <v>28</v>
      </c>
      <c r="L305" t="s">
        <v>595</v>
      </c>
    </row>
    <row r="306" spans="1:12" x14ac:dyDescent="0.35">
      <c r="A306" t="s">
        <v>596</v>
      </c>
      <c r="B306" t="s">
        <v>42</v>
      </c>
      <c r="C306" t="s">
        <v>46</v>
      </c>
      <c r="D306">
        <v>1</v>
      </c>
      <c r="E306">
        <v>10149.09</v>
      </c>
      <c r="F306">
        <v>10149.09</v>
      </c>
      <c r="G306" s="1">
        <v>45841</v>
      </c>
      <c r="H306">
        <f t="shared" si="12"/>
        <v>2025</v>
      </c>
      <c r="I306" s="3" t="str">
        <f t="shared" si="13"/>
        <v>Jul-2025</v>
      </c>
      <c r="J306">
        <f t="shared" si="14"/>
        <v>27</v>
      </c>
      <c r="K306" t="s">
        <v>47</v>
      </c>
      <c r="L306" t="s">
        <v>597</v>
      </c>
    </row>
    <row r="307" spans="1:12" x14ac:dyDescent="0.35">
      <c r="A307" t="s">
        <v>598</v>
      </c>
      <c r="B307" t="s">
        <v>79</v>
      </c>
      <c r="C307" t="s">
        <v>12</v>
      </c>
      <c r="D307">
        <v>1</v>
      </c>
      <c r="E307">
        <v>198229.21</v>
      </c>
      <c r="F307">
        <v>198229.21</v>
      </c>
      <c r="G307" s="1">
        <v>45594</v>
      </c>
      <c r="H307">
        <f t="shared" si="12"/>
        <v>2024</v>
      </c>
      <c r="I307" s="3" t="str">
        <f t="shared" si="13"/>
        <v>Oct-2024</v>
      </c>
      <c r="J307">
        <f t="shared" si="14"/>
        <v>44</v>
      </c>
      <c r="K307" t="s">
        <v>9</v>
      </c>
      <c r="L307" t="s">
        <v>599</v>
      </c>
    </row>
    <row r="308" spans="1:12" x14ac:dyDescent="0.35">
      <c r="A308" t="s">
        <v>600</v>
      </c>
      <c r="B308" t="s">
        <v>79</v>
      </c>
      <c r="C308" t="s">
        <v>55</v>
      </c>
      <c r="D308">
        <v>79</v>
      </c>
      <c r="E308">
        <v>184669.5</v>
      </c>
      <c r="F308">
        <v>14588890.5</v>
      </c>
      <c r="G308" s="1">
        <v>45365</v>
      </c>
      <c r="H308">
        <f t="shared" si="12"/>
        <v>2024</v>
      </c>
      <c r="I308" s="3" t="str">
        <f t="shared" si="13"/>
        <v>Mar-2024</v>
      </c>
      <c r="J308">
        <f t="shared" si="14"/>
        <v>11</v>
      </c>
      <c r="K308" t="s">
        <v>13</v>
      </c>
      <c r="L308" t="s">
        <v>601</v>
      </c>
    </row>
    <row r="309" spans="1:12" x14ac:dyDescent="0.35">
      <c r="A309" t="s">
        <v>602</v>
      </c>
      <c r="B309" t="s">
        <v>58</v>
      </c>
      <c r="C309" t="s">
        <v>70</v>
      </c>
      <c r="D309">
        <v>11</v>
      </c>
      <c r="E309">
        <v>280903.26</v>
      </c>
      <c r="F309">
        <v>3089935.8600000003</v>
      </c>
      <c r="G309" s="1">
        <v>45244</v>
      </c>
      <c r="H309">
        <f t="shared" si="12"/>
        <v>2023</v>
      </c>
      <c r="I309" s="3" t="str">
        <f t="shared" si="13"/>
        <v>Nov-2023</v>
      </c>
      <c r="J309">
        <f t="shared" si="14"/>
        <v>46</v>
      </c>
      <c r="K309" t="s">
        <v>9</v>
      </c>
      <c r="L309" t="s">
        <v>603</v>
      </c>
    </row>
    <row r="310" spans="1:12" x14ac:dyDescent="0.35">
      <c r="A310" t="s">
        <v>604</v>
      </c>
      <c r="B310" t="s">
        <v>89</v>
      </c>
      <c r="C310" t="s">
        <v>17</v>
      </c>
      <c r="D310">
        <v>33</v>
      </c>
      <c r="E310">
        <v>266767.88</v>
      </c>
      <c r="F310">
        <v>8803340.040000001</v>
      </c>
      <c r="G310" s="1">
        <v>45423</v>
      </c>
      <c r="H310">
        <f t="shared" si="12"/>
        <v>2024</v>
      </c>
      <c r="I310" s="3" t="str">
        <f t="shared" si="13"/>
        <v>May-2024</v>
      </c>
      <c r="J310">
        <f t="shared" si="14"/>
        <v>19</v>
      </c>
      <c r="K310" t="s">
        <v>28</v>
      </c>
      <c r="L310" t="s">
        <v>1121</v>
      </c>
    </row>
    <row r="311" spans="1:12" x14ac:dyDescent="0.35">
      <c r="A311" t="s">
        <v>605</v>
      </c>
      <c r="B311" t="s">
        <v>16</v>
      </c>
      <c r="C311" t="s">
        <v>23</v>
      </c>
      <c r="D311">
        <v>1</v>
      </c>
      <c r="E311">
        <v>72579.56</v>
      </c>
      <c r="F311">
        <v>72579.56</v>
      </c>
      <c r="G311" s="1">
        <v>45596</v>
      </c>
      <c r="H311">
        <f t="shared" si="12"/>
        <v>2024</v>
      </c>
      <c r="I311" s="3" t="str">
        <f t="shared" si="13"/>
        <v>Oct-2024</v>
      </c>
      <c r="J311">
        <f t="shared" si="14"/>
        <v>44</v>
      </c>
      <c r="K311" t="s">
        <v>47</v>
      </c>
      <c r="L311" t="s">
        <v>606</v>
      </c>
    </row>
    <row r="312" spans="1:12" x14ac:dyDescent="0.35">
      <c r="A312" t="s">
        <v>607</v>
      </c>
      <c r="B312" t="s">
        <v>53</v>
      </c>
      <c r="C312" t="s">
        <v>70</v>
      </c>
      <c r="D312">
        <v>1</v>
      </c>
      <c r="E312">
        <v>0</v>
      </c>
      <c r="F312">
        <v>0</v>
      </c>
      <c r="G312" s="1">
        <v>45692</v>
      </c>
      <c r="H312">
        <f t="shared" si="12"/>
        <v>2025</v>
      </c>
      <c r="I312" s="3" t="str">
        <f t="shared" si="13"/>
        <v>Feb-2025</v>
      </c>
      <c r="J312">
        <f t="shared" si="14"/>
        <v>6</v>
      </c>
      <c r="K312" t="s">
        <v>47</v>
      </c>
      <c r="L312" t="s">
        <v>608</v>
      </c>
    </row>
    <row r="313" spans="1:12" x14ac:dyDescent="0.35">
      <c r="A313" t="s">
        <v>609</v>
      </c>
      <c r="B313" t="s">
        <v>89</v>
      </c>
      <c r="C313" t="s">
        <v>90</v>
      </c>
      <c r="D313">
        <v>1</v>
      </c>
      <c r="E313">
        <v>20653.63</v>
      </c>
      <c r="F313">
        <v>20653.63</v>
      </c>
      <c r="G313" s="1">
        <v>45772</v>
      </c>
      <c r="H313">
        <f t="shared" si="12"/>
        <v>2025</v>
      </c>
      <c r="I313" s="3" t="str">
        <f t="shared" si="13"/>
        <v>Apr-2025</v>
      </c>
      <c r="J313">
        <f t="shared" si="14"/>
        <v>17</v>
      </c>
      <c r="K313" t="s">
        <v>28</v>
      </c>
      <c r="L313" t="s">
        <v>610</v>
      </c>
    </row>
    <row r="314" spans="1:12" x14ac:dyDescent="0.35">
      <c r="A314" t="s">
        <v>1047</v>
      </c>
      <c r="B314" t="s">
        <v>20</v>
      </c>
      <c r="C314" t="s">
        <v>17</v>
      </c>
      <c r="D314">
        <v>1</v>
      </c>
      <c r="E314">
        <v>178386.27</v>
      </c>
      <c r="F314">
        <v>178386.27</v>
      </c>
      <c r="G314" s="1">
        <v>45350</v>
      </c>
      <c r="H314">
        <f t="shared" si="12"/>
        <v>2024</v>
      </c>
      <c r="I314" s="3" t="str">
        <f t="shared" si="13"/>
        <v>Feb-2024</v>
      </c>
      <c r="J314">
        <f t="shared" si="14"/>
        <v>9</v>
      </c>
      <c r="K314" t="s">
        <v>47</v>
      </c>
      <c r="L314" t="s">
        <v>611</v>
      </c>
    </row>
    <row r="315" spans="1:12" x14ac:dyDescent="0.35">
      <c r="A315" t="s">
        <v>612</v>
      </c>
      <c r="B315" t="s">
        <v>16</v>
      </c>
      <c r="C315" t="s">
        <v>46</v>
      </c>
      <c r="D315">
        <v>1</v>
      </c>
      <c r="E315">
        <v>134209.1</v>
      </c>
      <c r="F315">
        <v>134209.1</v>
      </c>
      <c r="G315" s="1">
        <v>45579</v>
      </c>
      <c r="H315">
        <f t="shared" si="12"/>
        <v>2024</v>
      </c>
      <c r="I315" s="3" t="str">
        <f t="shared" si="13"/>
        <v>Oct-2024</v>
      </c>
      <c r="J315">
        <f t="shared" si="14"/>
        <v>42</v>
      </c>
      <c r="K315" t="s">
        <v>47</v>
      </c>
      <c r="L315" t="s">
        <v>613</v>
      </c>
    </row>
    <row r="316" spans="1:12" x14ac:dyDescent="0.35">
      <c r="A316" t="s">
        <v>614</v>
      </c>
      <c r="B316" t="s">
        <v>105</v>
      </c>
      <c r="C316" t="s">
        <v>55</v>
      </c>
      <c r="D316">
        <v>16</v>
      </c>
      <c r="E316">
        <v>201771.08</v>
      </c>
      <c r="F316">
        <v>3228337.28</v>
      </c>
      <c r="G316" s="1">
        <v>45379</v>
      </c>
      <c r="H316">
        <f t="shared" si="12"/>
        <v>2024</v>
      </c>
      <c r="I316" s="3" t="str">
        <f t="shared" si="13"/>
        <v>Mar-2024</v>
      </c>
      <c r="J316">
        <f t="shared" si="14"/>
        <v>13</v>
      </c>
      <c r="K316" t="s">
        <v>28</v>
      </c>
      <c r="L316" t="s">
        <v>615</v>
      </c>
    </row>
    <row r="317" spans="1:12" x14ac:dyDescent="0.35">
      <c r="A317" t="s">
        <v>616</v>
      </c>
      <c r="B317" t="s">
        <v>26</v>
      </c>
      <c r="C317" t="s">
        <v>23</v>
      </c>
      <c r="D317">
        <v>1</v>
      </c>
      <c r="E317">
        <v>261727.62</v>
      </c>
      <c r="F317">
        <v>261727.62</v>
      </c>
      <c r="G317" s="1">
        <v>45512</v>
      </c>
      <c r="H317">
        <f t="shared" si="12"/>
        <v>2024</v>
      </c>
      <c r="I317" s="3" t="str">
        <f t="shared" si="13"/>
        <v>Aug-2024</v>
      </c>
      <c r="J317">
        <f t="shared" si="14"/>
        <v>32</v>
      </c>
      <c r="K317" t="s">
        <v>28</v>
      </c>
      <c r="L317" t="s">
        <v>617</v>
      </c>
    </row>
    <row r="318" spans="1:12" x14ac:dyDescent="0.35">
      <c r="A318" t="s">
        <v>618</v>
      </c>
      <c r="B318" t="s">
        <v>131</v>
      </c>
      <c r="C318" t="s">
        <v>55</v>
      </c>
      <c r="D318">
        <v>1</v>
      </c>
      <c r="E318">
        <v>73797.88</v>
      </c>
      <c r="F318">
        <v>73797.88</v>
      </c>
      <c r="G318" s="1">
        <v>45761</v>
      </c>
      <c r="H318">
        <f t="shared" si="12"/>
        <v>2025</v>
      </c>
      <c r="I318" s="3" t="str">
        <f t="shared" si="13"/>
        <v>Apr-2025</v>
      </c>
      <c r="J318">
        <f t="shared" si="14"/>
        <v>16</v>
      </c>
      <c r="K318" t="s">
        <v>28</v>
      </c>
      <c r="L318" t="s">
        <v>619</v>
      </c>
    </row>
    <row r="319" spans="1:12" x14ac:dyDescent="0.35">
      <c r="A319" t="s">
        <v>620</v>
      </c>
      <c r="B319" t="s">
        <v>76</v>
      </c>
      <c r="C319" t="s">
        <v>46</v>
      </c>
      <c r="D319">
        <v>59</v>
      </c>
      <c r="E319">
        <v>13748.9</v>
      </c>
      <c r="F319">
        <v>811185.1</v>
      </c>
      <c r="G319" s="1">
        <v>45513</v>
      </c>
      <c r="H319">
        <f t="shared" si="12"/>
        <v>2024</v>
      </c>
      <c r="I319" s="3" t="str">
        <f t="shared" si="13"/>
        <v>Aug-2024</v>
      </c>
      <c r="J319">
        <f t="shared" si="14"/>
        <v>32</v>
      </c>
      <c r="K319" t="s">
        <v>28</v>
      </c>
      <c r="L319" t="s">
        <v>621</v>
      </c>
    </row>
    <row r="320" spans="1:12" x14ac:dyDescent="0.35">
      <c r="A320" t="s">
        <v>622</v>
      </c>
      <c r="B320" t="s">
        <v>89</v>
      </c>
      <c r="C320" t="s">
        <v>70</v>
      </c>
      <c r="D320">
        <v>1</v>
      </c>
      <c r="E320">
        <v>131969.35999999999</v>
      </c>
      <c r="F320">
        <v>131969.35999999999</v>
      </c>
      <c r="G320" s="1">
        <v>45531</v>
      </c>
      <c r="H320">
        <f t="shared" si="12"/>
        <v>2024</v>
      </c>
      <c r="I320" s="3" t="str">
        <f t="shared" si="13"/>
        <v>Aug-2024</v>
      </c>
      <c r="J320">
        <f t="shared" si="14"/>
        <v>35</v>
      </c>
      <c r="K320" t="s">
        <v>28</v>
      </c>
      <c r="L320" t="s">
        <v>623</v>
      </c>
    </row>
    <row r="321" spans="1:12" x14ac:dyDescent="0.35">
      <c r="A321" t="s">
        <v>624</v>
      </c>
      <c r="B321" t="s">
        <v>37</v>
      </c>
      <c r="C321" t="s">
        <v>90</v>
      </c>
      <c r="D321">
        <v>1</v>
      </c>
      <c r="E321">
        <v>162158.06</v>
      </c>
      <c r="F321">
        <v>162158.06</v>
      </c>
      <c r="G321" s="1">
        <v>45498</v>
      </c>
      <c r="H321">
        <f t="shared" si="12"/>
        <v>2024</v>
      </c>
      <c r="I321" s="3" t="str">
        <f t="shared" si="13"/>
        <v>Jul-2024</v>
      </c>
      <c r="J321">
        <f t="shared" si="14"/>
        <v>30</v>
      </c>
      <c r="K321" t="s">
        <v>28</v>
      </c>
      <c r="L321" t="s">
        <v>625</v>
      </c>
    </row>
    <row r="322" spans="1:12" x14ac:dyDescent="0.35">
      <c r="A322" t="s">
        <v>626</v>
      </c>
      <c r="B322" t="s">
        <v>11</v>
      </c>
      <c r="C322" t="s">
        <v>17</v>
      </c>
      <c r="D322">
        <v>1</v>
      </c>
      <c r="E322">
        <v>0</v>
      </c>
      <c r="F322">
        <v>0</v>
      </c>
      <c r="G322" s="1">
        <v>45668</v>
      </c>
      <c r="H322">
        <f t="shared" si="12"/>
        <v>2025</v>
      </c>
      <c r="I322" s="3" t="str">
        <f t="shared" si="13"/>
        <v>Jan-2025</v>
      </c>
      <c r="J322">
        <f t="shared" si="14"/>
        <v>2</v>
      </c>
      <c r="K322" t="s">
        <v>47</v>
      </c>
      <c r="L322" t="s">
        <v>627</v>
      </c>
    </row>
    <row r="323" spans="1:12" x14ac:dyDescent="0.35">
      <c r="A323" t="s">
        <v>628</v>
      </c>
      <c r="B323" t="s">
        <v>76</v>
      </c>
      <c r="C323" t="s">
        <v>70</v>
      </c>
      <c r="D323">
        <v>1</v>
      </c>
      <c r="E323">
        <v>226438.52</v>
      </c>
      <c r="F323">
        <v>226438.52</v>
      </c>
      <c r="G323" s="1">
        <v>45555</v>
      </c>
      <c r="H323">
        <f t="shared" ref="H323:H386" si="15">YEAR(G323)</f>
        <v>2024</v>
      </c>
      <c r="I323" s="3" t="str">
        <f t="shared" ref="I323:I386" si="16">TEXT(G323,"mmm-yyyy")</f>
        <v>Sep-2024</v>
      </c>
      <c r="J323">
        <f t="shared" ref="J323:J386" si="17">WEEKNUM(G323)</f>
        <v>38</v>
      </c>
      <c r="K323" t="s">
        <v>9</v>
      </c>
      <c r="L323" t="s">
        <v>629</v>
      </c>
    </row>
    <row r="324" spans="1:12" x14ac:dyDescent="0.35">
      <c r="A324" t="s">
        <v>630</v>
      </c>
      <c r="B324" t="s">
        <v>61</v>
      </c>
      <c r="C324" t="s">
        <v>90</v>
      </c>
      <c r="D324">
        <v>1</v>
      </c>
      <c r="E324">
        <v>232931.05</v>
      </c>
      <c r="F324">
        <v>232931.05</v>
      </c>
      <c r="G324" s="1">
        <v>45350</v>
      </c>
      <c r="H324">
        <f t="shared" si="15"/>
        <v>2024</v>
      </c>
      <c r="I324" s="3" t="str">
        <f t="shared" si="16"/>
        <v>Feb-2024</v>
      </c>
      <c r="J324">
        <f t="shared" si="17"/>
        <v>9</v>
      </c>
      <c r="K324" t="s">
        <v>47</v>
      </c>
      <c r="L324" t="s">
        <v>1122</v>
      </c>
    </row>
    <row r="325" spans="1:12" x14ac:dyDescent="0.35">
      <c r="A325" t="s">
        <v>631</v>
      </c>
      <c r="B325" t="s">
        <v>79</v>
      </c>
      <c r="C325" t="s">
        <v>27</v>
      </c>
      <c r="D325">
        <v>1</v>
      </c>
      <c r="E325">
        <v>42470.6</v>
      </c>
      <c r="F325">
        <v>42470.6</v>
      </c>
      <c r="G325" s="1">
        <v>45486</v>
      </c>
      <c r="H325">
        <f t="shared" si="15"/>
        <v>2024</v>
      </c>
      <c r="I325" s="3" t="str">
        <f t="shared" si="16"/>
        <v>Jul-2024</v>
      </c>
      <c r="J325">
        <f t="shared" si="17"/>
        <v>28</v>
      </c>
      <c r="K325" t="s">
        <v>9</v>
      </c>
      <c r="L325" t="s">
        <v>632</v>
      </c>
    </row>
    <row r="326" spans="1:12" x14ac:dyDescent="0.35">
      <c r="A326" t="s">
        <v>633</v>
      </c>
      <c r="B326" t="s">
        <v>31</v>
      </c>
      <c r="C326" t="s">
        <v>55</v>
      </c>
      <c r="D326">
        <v>55</v>
      </c>
      <c r="E326">
        <v>298048.28999999998</v>
      </c>
      <c r="F326">
        <v>16392655.949999999</v>
      </c>
      <c r="G326" s="1">
        <v>45751</v>
      </c>
      <c r="H326">
        <f t="shared" si="15"/>
        <v>2025</v>
      </c>
      <c r="I326" s="3" t="str">
        <f t="shared" si="16"/>
        <v>Apr-2025</v>
      </c>
      <c r="J326">
        <f t="shared" si="17"/>
        <v>14</v>
      </c>
      <c r="K326" t="s">
        <v>47</v>
      </c>
      <c r="L326" t="s">
        <v>634</v>
      </c>
    </row>
    <row r="327" spans="1:12" x14ac:dyDescent="0.35">
      <c r="A327" t="s">
        <v>1047</v>
      </c>
      <c r="B327" t="s">
        <v>37</v>
      </c>
      <c r="C327" t="s">
        <v>17</v>
      </c>
      <c r="D327">
        <v>1</v>
      </c>
      <c r="E327">
        <v>70631.37</v>
      </c>
      <c r="F327">
        <v>70631.37</v>
      </c>
      <c r="G327" s="1">
        <v>45130</v>
      </c>
      <c r="H327">
        <f t="shared" si="15"/>
        <v>2023</v>
      </c>
      <c r="I327" s="3" t="str">
        <f t="shared" si="16"/>
        <v>Jul-2023</v>
      </c>
      <c r="J327">
        <f t="shared" si="17"/>
        <v>30</v>
      </c>
      <c r="K327" t="s">
        <v>13</v>
      </c>
      <c r="L327" t="s">
        <v>635</v>
      </c>
    </row>
    <row r="328" spans="1:12" x14ac:dyDescent="0.35">
      <c r="A328" t="s">
        <v>1054</v>
      </c>
      <c r="B328" t="s">
        <v>34</v>
      </c>
      <c r="C328" t="s">
        <v>17</v>
      </c>
      <c r="D328">
        <v>1</v>
      </c>
      <c r="E328">
        <v>274960.90999999997</v>
      </c>
      <c r="F328">
        <v>274960.90999999997</v>
      </c>
      <c r="G328" s="1">
        <v>45404</v>
      </c>
      <c r="H328">
        <f t="shared" si="15"/>
        <v>2024</v>
      </c>
      <c r="I328" s="3" t="str">
        <f t="shared" si="16"/>
        <v>Apr-2024</v>
      </c>
      <c r="J328">
        <f t="shared" si="17"/>
        <v>17</v>
      </c>
      <c r="K328" t="s">
        <v>9</v>
      </c>
      <c r="L328" t="s">
        <v>636</v>
      </c>
    </row>
    <row r="329" spans="1:12" x14ac:dyDescent="0.35">
      <c r="A329" t="s">
        <v>637</v>
      </c>
      <c r="B329" t="s">
        <v>53</v>
      </c>
      <c r="C329" t="s">
        <v>90</v>
      </c>
      <c r="D329">
        <v>54</v>
      </c>
      <c r="E329">
        <v>173045.05</v>
      </c>
      <c r="F329">
        <v>9344432.6999999993</v>
      </c>
      <c r="G329" s="1">
        <v>45375</v>
      </c>
      <c r="H329">
        <f t="shared" si="15"/>
        <v>2024</v>
      </c>
      <c r="I329" s="3" t="str">
        <f t="shared" si="16"/>
        <v>Mar-2024</v>
      </c>
      <c r="J329">
        <f t="shared" si="17"/>
        <v>13</v>
      </c>
      <c r="K329" t="s">
        <v>13</v>
      </c>
      <c r="L329" t="s">
        <v>638</v>
      </c>
    </row>
    <row r="330" spans="1:12" x14ac:dyDescent="0.35">
      <c r="A330" t="s">
        <v>639</v>
      </c>
      <c r="B330" t="s">
        <v>58</v>
      </c>
      <c r="C330" t="s">
        <v>27</v>
      </c>
      <c r="D330">
        <v>1</v>
      </c>
      <c r="E330">
        <v>173453.71</v>
      </c>
      <c r="F330">
        <v>173453.71</v>
      </c>
      <c r="G330" s="1">
        <v>45641</v>
      </c>
      <c r="H330">
        <f t="shared" si="15"/>
        <v>2024</v>
      </c>
      <c r="I330" s="3" t="str">
        <f t="shared" si="16"/>
        <v>Dec-2024</v>
      </c>
      <c r="J330">
        <f t="shared" si="17"/>
        <v>51</v>
      </c>
      <c r="K330" t="s">
        <v>47</v>
      </c>
      <c r="L330" t="s">
        <v>640</v>
      </c>
    </row>
    <row r="331" spans="1:12" x14ac:dyDescent="0.35">
      <c r="A331" t="s">
        <v>641</v>
      </c>
      <c r="B331" t="s">
        <v>16</v>
      </c>
      <c r="C331" t="s">
        <v>23</v>
      </c>
      <c r="D331">
        <v>1</v>
      </c>
      <c r="E331">
        <v>231875.19</v>
      </c>
      <c r="F331">
        <v>231875.19</v>
      </c>
      <c r="G331" s="1">
        <v>45203</v>
      </c>
      <c r="H331">
        <f t="shared" si="15"/>
        <v>2023</v>
      </c>
      <c r="I331" s="3" t="str">
        <f t="shared" si="16"/>
        <v>Oct-2023</v>
      </c>
      <c r="J331">
        <f t="shared" si="17"/>
        <v>40</v>
      </c>
      <c r="K331" t="s">
        <v>47</v>
      </c>
      <c r="L331" t="s">
        <v>642</v>
      </c>
    </row>
    <row r="332" spans="1:12" x14ac:dyDescent="0.35">
      <c r="A332" t="s">
        <v>643</v>
      </c>
      <c r="B332" t="s">
        <v>26</v>
      </c>
      <c r="C332" t="s">
        <v>12</v>
      </c>
      <c r="D332">
        <v>47</v>
      </c>
      <c r="E332">
        <v>0</v>
      </c>
      <c r="F332">
        <v>0</v>
      </c>
      <c r="G332" s="1">
        <v>45441</v>
      </c>
      <c r="H332">
        <f t="shared" si="15"/>
        <v>2024</v>
      </c>
      <c r="I332" s="3" t="str">
        <f t="shared" si="16"/>
        <v>May-2024</v>
      </c>
      <c r="J332">
        <f t="shared" si="17"/>
        <v>22</v>
      </c>
      <c r="K332" t="s">
        <v>13</v>
      </c>
      <c r="L332" t="s">
        <v>644</v>
      </c>
    </row>
    <row r="333" spans="1:12" x14ac:dyDescent="0.35">
      <c r="A333" t="s">
        <v>645</v>
      </c>
      <c r="B333" t="s">
        <v>109</v>
      </c>
      <c r="C333" t="s">
        <v>23</v>
      </c>
      <c r="D333">
        <v>1</v>
      </c>
      <c r="E333">
        <v>245605.56</v>
      </c>
      <c r="F333">
        <v>245605.56</v>
      </c>
      <c r="G333" s="1">
        <v>45571</v>
      </c>
      <c r="H333">
        <f t="shared" si="15"/>
        <v>2024</v>
      </c>
      <c r="I333" s="3" t="str">
        <f t="shared" si="16"/>
        <v>Oct-2024</v>
      </c>
      <c r="J333">
        <f t="shared" si="17"/>
        <v>41</v>
      </c>
      <c r="K333" t="s">
        <v>47</v>
      </c>
      <c r="L333" t="s">
        <v>646</v>
      </c>
    </row>
    <row r="334" spans="1:12" x14ac:dyDescent="0.35">
      <c r="A334" t="s">
        <v>647</v>
      </c>
      <c r="B334" t="s">
        <v>37</v>
      </c>
      <c r="C334" t="s">
        <v>17</v>
      </c>
      <c r="D334">
        <v>1</v>
      </c>
      <c r="E334">
        <v>71452.759999999995</v>
      </c>
      <c r="F334">
        <v>71452.759999999995</v>
      </c>
      <c r="G334" s="1">
        <v>45356</v>
      </c>
      <c r="H334">
        <f t="shared" si="15"/>
        <v>2024</v>
      </c>
      <c r="I334" s="3" t="str">
        <f t="shared" si="16"/>
        <v>Mar-2024</v>
      </c>
      <c r="J334">
        <f t="shared" si="17"/>
        <v>10</v>
      </c>
      <c r="K334" t="s">
        <v>28</v>
      </c>
      <c r="L334" t="s">
        <v>648</v>
      </c>
    </row>
    <row r="335" spans="1:12" x14ac:dyDescent="0.35">
      <c r="A335" t="s">
        <v>649</v>
      </c>
      <c r="B335" t="s">
        <v>20</v>
      </c>
      <c r="C335" t="s">
        <v>17</v>
      </c>
      <c r="D335">
        <v>71</v>
      </c>
      <c r="E335">
        <v>262939.37</v>
      </c>
      <c r="F335">
        <v>18668695.27</v>
      </c>
      <c r="G335" s="1">
        <v>45736</v>
      </c>
      <c r="H335">
        <f t="shared" si="15"/>
        <v>2025</v>
      </c>
      <c r="I335" s="3" t="str">
        <f t="shared" si="16"/>
        <v>Mar-2025</v>
      </c>
      <c r="J335">
        <f t="shared" si="17"/>
        <v>12</v>
      </c>
      <c r="K335" t="s">
        <v>47</v>
      </c>
      <c r="L335" t="s">
        <v>650</v>
      </c>
    </row>
    <row r="336" spans="1:12" x14ac:dyDescent="0.35">
      <c r="A336" t="s">
        <v>651</v>
      </c>
      <c r="B336" t="s">
        <v>109</v>
      </c>
      <c r="C336" t="s">
        <v>46</v>
      </c>
      <c r="D336">
        <v>1</v>
      </c>
      <c r="E336">
        <v>295715.82</v>
      </c>
      <c r="F336">
        <v>295715.82</v>
      </c>
      <c r="G336" s="1">
        <v>45816</v>
      </c>
      <c r="H336">
        <f t="shared" si="15"/>
        <v>2025</v>
      </c>
      <c r="I336" s="3" t="str">
        <f t="shared" si="16"/>
        <v>Jun-2025</v>
      </c>
      <c r="J336">
        <f t="shared" si="17"/>
        <v>24</v>
      </c>
      <c r="K336" t="s">
        <v>28</v>
      </c>
      <c r="L336" t="s">
        <v>652</v>
      </c>
    </row>
    <row r="337" spans="1:12" x14ac:dyDescent="0.35">
      <c r="A337" t="s">
        <v>653</v>
      </c>
      <c r="B337" t="s">
        <v>131</v>
      </c>
      <c r="C337" t="s">
        <v>90</v>
      </c>
      <c r="D337">
        <v>1</v>
      </c>
      <c r="E337">
        <v>156614.69</v>
      </c>
      <c r="F337">
        <v>156614.69</v>
      </c>
      <c r="G337" s="1">
        <v>45681</v>
      </c>
      <c r="H337">
        <f t="shared" si="15"/>
        <v>2025</v>
      </c>
      <c r="I337" s="3" t="str">
        <f t="shared" si="16"/>
        <v>Jan-2025</v>
      </c>
      <c r="J337">
        <f t="shared" si="17"/>
        <v>4</v>
      </c>
      <c r="K337" t="s">
        <v>47</v>
      </c>
      <c r="L337" t="s">
        <v>654</v>
      </c>
    </row>
    <row r="338" spans="1:12" x14ac:dyDescent="0.35">
      <c r="A338" t="s">
        <v>655</v>
      </c>
      <c r="B338" t="s">
        <v>85</v>
      </c>
      <c r="C338" t="s">
        <v>27</v>
      </c>
      <c r="D338">
        <v>1</v>
      </c>
      <c r="E338">
        <v>124361.28</v>
      </c>
      <c r="F338">
        <v>124361.28</v>
      </c>
      <c r="G338" s="1">
        <v>45795</v>
      </c>
      <c r="H338">
        <f t="shared" si="15"/>
        <v>2025</v>
      </c>
      <c r="I338" s="3" t="str">
        <f t="shared" si="16"/>
        <v>May-2025</v>
      </c>
      <c r="J338">
        <f t="shared" si="17"/>
        <v>21</v>
      </c>
      <c r="K338" t="s">
        <v>47</v>
      </c>
      <c r="L338" t="s">
        <v>1123</v>
      </c>
    </row>
    <row r="339" spans="1:12" x14ac:dyDescent="0.35">
      <c r="A339" t="s">
        <v>656</v>
      </c>
      <c r="B339" t="s">
        <v>76</v>
      </c>
      <c r="C339" t="s">
        <v>12</v>
      </c>
      <c r="D339">
        <v>1</v>
      </c>
      <c r="E339">
        <v>82908.600000000006</v>
      </c>
      <c r="F339">
        <v>82908.600000000006</v>
      </c>
      <c r="G339" s="1">
        <v>45652</v>
      </c>
      <c r="H339">
        <f t="shared" si="15"/>
        <v>2024</v>
      </c>
      <c r="I339" s="3" t="str">
        <f t="shared" si="16"/>
        <v>Dec-2024</v>
      </c>
      <c r="J339">
        <f t="shared" si="17"/>
        <v>52</v>
      </c>
      <c r="K339" t="s">
        <v>9</v>
      </c>
      <c r="L339" t="s">
        <v>657</v>
      </c>
    </row>
    <row r="340" spans="1:12" x14ac:dyDescent="0.35">
      <c r="A340" t="s">
        <v>1047</v>
      </c>
      <c r="B340" t="s">
        <v>34</v>
      </c>
      <c r="C340" t="s">
        <v>23</v>
      </c>
      <c r="D340">
        <v>1</v>
      </c>
      <c r="E340">
        <v>167237.07999999999</v>
      </c>
      <c r="F340">
        <v>167237.07999999999</v>
      </c>
      <c r="G340" s="1">
        <v>45606</v>
      </c>
      <c r="H340">
        <f t="shared" si="15"/>
        <v>2024</v>
      </c>
      <c r="I340" s="3" t="str">
        <f t="shared" si="16"/>
        <v>Nov-2024</v>
      </c>
      <c r="J340">
        <f t="shared" si="17"/>
        <v>46</v>
      </c>
      <c r="K340" t="s">
        <v>47</v>
      </c>
      <c r="L340" t="s">
        <v>658</v>
      </c>
    </row>
    <row r="341" spans="1:12" x14ac:dyDescent="0.35">
      <c r="A341" t="s">
        <v>659</v>
      </c>
      <c r="B341" t="s">
        <v>131</v>
      </c>
      <c r="C341" t="s">
        <v>90</v>
      </c>
      <c r="D341">
        <v>1</v>
      </c>
      <c r="E341">
        <v>177704.3</v>
      </c>
      <c r="F341">
        <v>177704.3</v>
      </c>
      <c r="G341" s="1">
        <v>45138</v>
      </c>
      <c r="H341">
        <f t="shared" si="15"/>
        <v>2023</v>
      </c>
      <c r="I341" s="3" t="str">
        <f t="shared" si="16"/>
        <v>Jul-2023</v>
      </c>
      <c r="J341">
        <f t="shared" si="17"/>
        <v>31</v>
      </c>
      <c r="K341" t="s">
        <v>9</v>
      </c>
      <c r="L341" t="s">
        <v>660</v>
      </c>
    </row>
    <row r="342" spans="1:12" x14ac:dyDescent="0.35">
      <c r="A342" t="s">
        <v>661</v>
      </c>
      <c r="B342" t="s">
        <v>61</v>
      </c>
      <c r="C342" t="s">
        <v>70</v>
      </c>
      <c r="D342">
        <v>1</v>
      </c>
      <c r="E342">
        <v>0</v>
      </c>
      <c r="F342">
        <v>0</v>
      </c>
      <c r="G342" s="1">
        <v>45581</v>
      </c>
      <c r="H342">
        <f t="shared" si="15"/>
        <v>2024</v>
      </c>
      <c r="I342" s="3" t="str">
        <f t="shared" si="16"/>
        <v>Oct-2024</v>
      </c>
      <c r="J342">
        <f t="shared" si="17"/>
        <v>42</v>
      </c>
      <c r="K342" t="s">
        <v>13</v>
      </c>
      <c r="L342" t="s">
        <v>662</v>
      </c>
    </row>
    <row r="343" spans="1:12" x14ac:dyDescent="0.35">
      <c r="A343" t="s">
        <v>663</v>
      </c>
      <c r="B343" t="s">
        <v>58</v>
      </c>
      <c r="C343" t="s">
        <v>46</v>
      </c>
      <c r="D343">
        <v>1</v>
      </c>
      <c r="E343">
        <v>220696.03</v>
      </c>
      <c r="F343">
        <v>220696.03</v>
      </c>
      <c r="G343" s="1">
        <v>45486</v>
      </c>
      <c r="H343">
        <f t="shared" si="15"/>
        <v>2024</v>
      </c>
      <c r="I343" s="3" t="str">
        <f t="shared" si="16"/>
        <v>Jul-2024</v>
      </c>
      <c r="J343">
        <f t="shared" si="17"/>
        <v>28</v>
      </c>
      <c r="K343" t="s">
        <v>47</v>
      </c>
      <c r="L343" t="s">
        <v>664</v>
      </c>
    </row>
    <row r="344" spans="1:12" x14ac:dyDescent="0.35">
      <c r="A344" t="s">
        <v>665</v>
      </c>
      <c r="B344" t="s">
        <v>11</v>
      </c>
      <c r="C344" t="s">
        <v>27</v>
      </c>
      <c r="D344">
        <v>1</v>
      </c>
      <c r="E344">
        <v>52952.39</v>
      </c>
      <c r="F344">
        <v>52952.39</v>
      </c>
      <c r="G344" s="1">
        <v>45324</v>
      </c>
      <c r="H344">
        <f t="shared" si="15"/>
        <v>2024</v>
      </c>
      <c r="I344" s="3" t="str">
        <f t="shared" si="16"/>
        <v>Feb-2024</v>
      </c>
      <c r="J344">
        <f t="shared" si="17"/>
        <v>5</v>
      </c>
      <c r="K344" t="s">
        <v>13</v>
      </c>
      <c r="L344" t="s">
        <v>666</v>
      </c>
    </row>
    <row r="345" spans="1:12" x14ac:dyDescent="0.35">
      <c r="A345" t="s">
        <v>667</v>
      </c>
      <c r="B345" t="s">
        <v>34</v>
      </c>
      <c r="C345" t="s">
        <v>46</v>
      </c>
      <c r="D345">
        <v>1</v>
      </c>
      <c r="E345">
        <v>203785.66</v>
      </c>
      <c r="F345">
        <v>203785.66</v>
      </c>
      <c r="G345" s="1">
        <v>45627</v>
      </c>
      <c r="H345">
        <f t="shared" si="15"/>
        <v>2024</v>
      </c>
      <c r="I345" s="3" t="str">
        <f t="shared" si="16"/>
        <v>Dec-2024</v>
      </c>
      <c r="J345">
        <f t="shared" si="17"/>
        <v>49</v>
      </c>
      <c r="K345" t="s">
        <v>47</v>
      </c>
      <c r="L345" t="s">
        <v>668</v>
      </c>
    </row>
    <row r="346" spans="1:12" x14ac:dyDescent="0.35">
      <c r="A346" t="s">
        <v>669</v>
      </c>
      <c r="B346" t="s">
        <v>131</v>
      </c>
      <c r="C346" t="s">
        <v>17</v>
      </c>
      <c r="D346">
        <v>18</v>
      </c>
      <c r="E346">
        <v>166977.26999999999</v>
      </c>
      <c r="F346">
        <v>3005590.86</v>
      </c>
      <c r="G346" s="1">
        <v>45726</v>
      </c>
      <c r="H346">
        <f t="shared" si="15"/>
        <v>2025</v>
      </c>
      <c r="I346" s="3" t="str">
        <f t="shared" si="16"/>
        <v>Mar-2025</v>
      </c>
      <c r="J346">
        <f t="shared" si="17"/>
        <v>11</v>
      </c>
      <c r="K346" t="s">
        <v>9</v>
      </c>
      <c r="L346" t="s">
        <v>670</v>
      </c>
    </row>
    <row r="347" spans="1:12" x14ac:dyDescent="0.35">
      <c r="A347" t="s">
        <v>671</v>
      </c>
      <c r="B347" t="s">
        <v>31</v>
      </c>
      <c r="C347" t="s">
        <v>46</v>
      </c>
      <c r="D347">
        <v>1</v>
      </c>
      <c r="E347">
        <v>14541.79</v>
      </c>
      <c r="F347">
        <v>14541.79</v>
      </c>
      <c r="G347" s="1">
        <v>45720</v>
      </c>
      <c r="H347">
        <f t="shared" si="15"/>
        <v>2025</v>
      </c>
      <c r="I347" s="3" t="str">
        <f t="shared" si="16"/>
        <v>Mar-2025</v>
      </c>
      <c r="J347">
        <f t="shared" si="17"/>
        <v>10</v>
      </c>
      <c r="K347" t="s">
        <v>28</v>
      </c>
      <c r="L347" t="s">
        <v>672</v>
      </c>
    </row>
    <row r="348" spans="1:12" x14ac:dyDescent="0.35">
      <c r="A348" t="s">
        <v>673</v>
      </c>
      <c r="B348" t="s">
        <v>26</v>
      </c>
      <c r="C348" t="s">
        <v>12</v>
      </c>
      <c r="D348">
        <v>1</v>
      </c>
      <c r="E348">
        <v>103652.24</v>
      </c>
      <c r="F348">
        <v>103652.24</v>
      </c>
      <c r="G348" s="1">
        <v>45567</v>
      </c>
      <c r="H348">
        <f t="shared" si="15"/>
        <v>2024</v>
      </c>
      <c r="I348" s="3" t="str">
        <f t="shared" si="16"/>
        <v>Oct-2024</v>
      </c>
      <c r="J348">
        <f t="shared" si="17"/>
        <v>40</v>
      </c>
      <c r="K348" t="s">
        <v>47</v>
      </c>
      <c r="L348" t="s">
        <v>674</v>
      </c>
    </row>
    <row r="349" spans="1:12" x14ac:dyDescent="0.35">
      <c r="A349" t="s">
        <v>675</v>
      </c>
      <c r="B349" t="s">
        <v>16</v>
      </c>
      <c r="C349" t="s">
        <v>17</v>
      </c>
      <c r="D349">
        <v>1</v>
      </c>
      <c r="E349">
        <v>193173.16</v>
      </c>
      <c r="F349">
        <v>193173.16</v>
      </c>
      <c r="G349" s="1">
        <v>45566</v>
      </c>
      <c r="H349">
        <f t="shared" si="15"/>
        <v>2024</v>
      </c>
      <c r="I349" s="3" t="str">
        <f t="shared" si="16"/>
        <v>Oct-2024</v>
      </c>
      <c r="J349">
        <f t="shared" si="17"/>
        <v>40</v>
      </c>
      <c r="K349" t="s">
        <v>47</v>
      </c>
      <c r="L349" t="s">
        <v>676</v>
      </c>
    </row>
    <row r="350" spans="1:12" x14ac:dyDescent="0.35">
      <c r="A350" t="s">
        <v>677</v>
      </c>
      <c r="B350" t="s">
        <v>31</v>
      </c>
      <c r="C350" t="s">
        <v>23</v>
      </c>
      <c r="D350">
        <v>1</v>
      </c>
      <c r="E350">
        <v>114655.81</v>
      </c>
      <c r="F350">
        <v>114655.81</v>
      </c>
      <c r="G350" s="1">
        <v>45294</v>
      </c>
      <c r="H350">
        <f t="shared" si="15"/>
        <v>2024</v>
      </c>
      <c r="I350" s="3" t="str">
        <f t="shared" si="16"/>
        <v>Jan-2024</v>
      </c>
      <c r="J350">
        <f t="shared" si="17"/>
        <v>1</v>
      </c>
      <c r="K350" t="s">
        <v>28</v>
      </c>
      <c r="L350" t="s">
        <v>678</v>
      </c>
    </row>
    <row r="351" spans="1:12" x14ac:dyDescent="0.35">
      <c r="A351" t="s">
        <v>679</v>
      </c>
      <c r="B351" t="s">
        <v>31</v>
      </c>
      <c r="C351" t="s">
        <v>23</v>
      </c>
      <c r="D351">
        <v>1</v>
      </c>
      <c r="E351">
        <v>157576.69</v>
      </c>
      <c r="F351">
        <v>157576.69</v>
      </c>
      <c r="G351" s="1">
        <v>45678</v>
      </c>
      <c r="H351">
        <f t="shared" si="15"/>
        <v>2025</v>
      </c>
      <c r="I351" s="3" t="str">
        <f t="shared" si="16"/>
        <v>Jan-2025</v>
      </c>
      <c r="J351">
        <f t="shared" si="17"/>
        <v>4</v>
      </c>
      <c r="K351" t="s">
        <v>9</v>
      </c>
      <c r="L351" t="s">
        <v>680</v>
      </c>
    </row>
    <row r="352" spans="1:12" x14ac:dyDescent="0.35">
      <c r="A352" t="s">
        <v>681</v>
      </c>
      <c r="B352" t="s">
        <v>34</v>
      </c>
      <c r="C352" t="s">
        <v>70</v>
      </c>
      <c r="D352">
        <v>24</v>
      </c>
      <c r="E352">
        <v>0</v>
      </c>
      <c r="F352">
        <v>0</v>
      </c>
      <c r="G352" s="1">
        <v>45157</v>
      </c>
      <c r="H352">
        <f t="shared" si="15"/>
        <v>2023</v>
      </c>
      <c r="I352" s="3" t="str">
        <f t="shared" si="16"/>
        <v>Aug-2023</v>
      </c>
      <c r="J352">
        <f t="shared" si="17"/>
        <v>33</v>
      </c>
      <c r="K352" t="s">
        <v>47</v>
      </c>
      <c r="L352" t="s">
        <v>1124</v>
      </c>
    </row>
    <row r="353" spans="1:12" x14ac:dyDescent="0.35">
      <c r="A353" t="s">
        <v>1047</v>
      </c>
      <c r="B353" t="s">
        <v>26</v>
      </c>
      <c r="C353" t="s">
        <v>17</v>
      </c>
      <c r="D353">
        <v>1</v>
      </c>
      <c r="E353">
        <v>209044.37</v>
      </c>
      <c r="F353">
        <v>209044.37</v>
      </c>
      <c r="G353" s="1">
        <v>45571</v>
      </c>
      <c r="H353">
        <f t="shared" si="15"/>
        <v>2024</v>
      </c>
      <c r="I353" s="3" t="str">
        <f t="shared" si="16"/>
        <v>Oct-2024</v>
      </c>
      <c r="J353">
        <f t="shared" si="17"/>
        <v>41</v>
      </c>
      <c r="K353" t="s">
        <v>13</v>
      </c>
      <c r="L353" t="s">
        <v>682</v>
      </c>
    </row>
    <row r="354" spans="1:12" x14ac:dyDescent="0.35">
      <c r="A354" t="s">
        <v>683</v>
      </c>
      <c r="B354" t="s">
        <v>16</v>
      </c>
      <c r="C354" t="s">
        <v>17</v>
      </c>
      <c r="D354">
        <v>1</v>
      </c>
      <c r="E354">
        <v>122773.62</v>
      </c>
      <c r="F354">
        <v>122773.62</v>
      </c>
      <c r="G354" s="1">
        <v>45491</v>
      </c>
      <c r="H354">
        <f t="shared" si="15"/>
        <v>2024</v>
      </c>
      <c r="I354" s="3" t="str">
        <f t="shared" si="16"/>
        <v>Jul-2024</v>
      </c>
      <c r="J354">
        <f t="shared" si="17"/>
        <v>29</v>
      </c>
      <c r="K354" t="s">
        <v>9</v>
      </c>
      <c r="L354" t="s">
        <v>684</v>
      </c>
    </row>
    <row r="355" spans="1:12" x14ac:dyDescent="0.35">
      <c r="A355" t="s">
        <v>685</v>
      </c>
      <c r="B355" t="s">
        <v>131</v>
      </c>
      <c r="C355" t="s">
        <v>27</v>
      </c>
      <c r="D355">
        <v>1</v>
      </c>
      <c r="E355">
        <v>90316.6</v>
      </c>
      <c r="F355">
        <v>90316.6</v>
      </c>
      <c r="G355" s="1">
        <v>45250</v>
      </c>
      <c r="H355">
        <f t="shared" si="15"/>
        <v>2023</v>
      </c>
      <c r="I355" s="3" t="str">
        <f t="shared" si="16"/>
        <v>Nov-2023</v>
      </c>
      <c r="J355">
        <f t="shared" si="17"/>
        <v>47</v>
      </c>
      <c r="K355" t="s">
        <v>28</v>
      </c>
      <c r="L355" t="s">
        <v>686</v>
      </c>
    </row>
    <row r="356" spans="1:12" x14ac:dyDescent="0.35">
      <c r="A356" t="s">
        <v>687</v>
      </c>
      <c r="B356" t="s">
        <v>61</v>
      </c>
      <c r="C356" t="s">
        <v>17</v>
      </c>
      <c r="D356">
        <v>26</v>
      </c>
      <c r="E356">
        <v>55571.75</v>
      </c>
      <c r="F356">
        <v>1444865.5</v>
      </c>
      <c r="G356" s="1">
        <v>45525</v>
      </c>
      <c r="H356">
        <f t="shared" si="15"/>
        <v>2024</v>
      </c>
      <c r="I356" s="3" t="str">
        <f t="shared" si="16"/>
        <v>Aug-2024</v>
      </c>
      <c r="J356">
        <f t="shared" si="17"/>
        <v>34</v>
      </c>
      <c r="K356" t="s">
        <v>13</v>
      </c>
      <c r="L356" t="s">
        <v>688</v>
      </c>
    </row>
    <row r="357" spans="1:12" x14ac:dyDescent="0.35">
      <c r="A357" t="s">
        <v>689</v>
      </c>
      <c r="B357" t="s">
        <v>53</v>
      </c>
      <c r="C357" t="s">
        <v>12</v>
      </c>
      <c r="D357">
        <v>26</v>
      </c>
      <c r="E357">
        <v>161609.51999999999</v>
      </c>
      <c r="F357">
        <v>4201847.5199999996</v>
      </c>
      <c r="G357" s="1">
        <v>45606</v>
      </c>
      <c r="H357">
        <f t="shared" si="15"/>
        <v>2024</v>
      </c>
      <c r="I357" s="3" t="str">
        <f t="shared" si="16"/>
        <v>Nov-2024</v>
      </c>
      <c r="J357">
        <f t="shared" si="17"/>
        <v>46</v>
      </c>
      <c r="K357" t="s">
        <v>13</v>
      </c>
      <c r="L357" t="s">
        <v>690</v>
      </c>
    </row>
    <row r="358" spans="1:12" x14ac:dyDescent="0.35">
      <c r="A358" t="s">
        <v>691</v>
      </c>
      <c r="B358" t="s">
        <v>89</v>
      </c>
      <c r="C358" t="s">
        <v>70</v>
      </c>
      <c r="D358">
        <v>1</v>
      </c>
      <c r="E358">
        <v>72669.97</v>
      </c>
      <c r="F358">
        <v>72669.97</v>
      </c>
      <c r="G358" s="1">
        <v>45678</v>
      </c>
      <c r="H358">
        <f t="shared" si="15"/>
        <v>2025</v>
      </c>
      <c r="I358" s="3" t="str">
        <f t="shared" si="16"/>
        <v>Jan-2025</v>
      </c>
      <c r="J358">
        <f t="shared" si="17"/>
        <v>4</v>
      </c>
      <c r="K358" t="s">
        <v>9</v>
      </c>
      <c r="L358" t="s">
        <v>692</v>
      </c>
    </row>
    <row r="359" spans="1:12" x14ac:dyDescent="0.35">
      <c r="A359" t="s">
        <v>693</v>
      </c>
      <c r="B359" t="s">
        <v>53</v>
      </c>
      <c r="C359" t="s">
        <v>27</v>
      </c>
      <c r="D359">
        <v>1</v>
      </c>
      <c r="E359">
        <v>67990.69</v>
      </c>
      <c r="F359">
        <v>67990.69</v>
      </c>
      <c r="G359" s="1">
        <v>45599</v>
      </c>
      <c r="H359">
        <f t="shared" si="15"/>
        <v>2024</v>
      </c>
      <c r="I359" s="3" t="str">
        <f t="shared" si="16"/>
        <v>Nov-2024</v>
      </c>
      <c r="J359">
        <f t="shared" si="17"/>
        <v>45</v>
      </c>
      <c r="K359" t="s">
        <v>28</v>
      </c>
      <c r="L359" t="s">
        <v>694</v>
      </c>
    </row>
    <row r="360" spans="1:12" x14ac:dyDescent="0.35">
      <c r="A360" t="s">
        <v>695</v>
      </c>
      <c r="B360" t="s">
        <v>16</v>
      </c>
      <c r="C360" t="s">
        <v>12</v>
      </c>
      <c r="D360">
        <v>1</v>
      </c>
      <c r="E360">
        <v>257333.6</v>
      </c>
      <c r="F360">
        <v>257333.6</v>
      </c>
      <c r="G360" s="1">
        <v>45719</v>
      </c>
      <c r="H360">
        <f t="shared" si="15"/>
        <v>2025</v>
      </c>
      <c r="I360" s="3" t="str">
        <f t="shared" si="16"/>
        <v>Mar-2025</v>
      </c>
      <c r="J360">
        <f t="shared" si="17"/>
        <v>10</v>
      </c>
      <c r="K360" t="s">
        <v>9</v>
      </c>
      <c r="L360" t="s">
        <v>696</v>
      </c>
    </row>
    <row r="361" spans="1:12" x14ac:dyDescent="0.35">
      <c r="A361" t="s">
        <v>697</v>
      </c>
      <c r="B361" t="s">
        <v>58</v>
      </c>
      <c r="C361" t="s">
        <v>46</v>
      </c>
      <c r="D361">
        <v>33</v>
      </c>
      <c r="E361">
        <v>43733.35</v>
      </c>
      <c r="F361">
        <v>1443200.55</v>
      </c>
      <c r="G361" s="1">
        <v>45771</v>
      </c>
      <c r="H361">
        <f t="shared" si="15"/>
        <v>2025</v>
      </c>
      <c r="I361" s="3" t="str">
        <f t="shared" si="16"/>
        <v>Apr-2025</v>
      </c>
      <c r="J361">
        <f t="shared" si="17"/>
        <v>17</v>
      </c>
      <c r="K361" t="s">
        <v>47</v>
      </c>
      <c r="L361" t="s">
        <v>698</v>
      </c>
    </row>
    <row r="362" spans="1:12" x14ac:dyDescent="0.35">
      <c r="A362" t="s">
        <v>699</v>
      </c>
      <c r="B362" t="s">
        <v>213</v>
      </c>
      <c r="C362" t="s">
        <v>23</v>
      </c>
      <c r="D362">
        <v>1</v>
      </c>
      <c r="E362">
        <v>0</v>
      </c>
      <c r="F362">
        <v>0</v>
      </c>
      <c r="G362" s="1">
        <v>45413</v>
      </c>
      <c r="H362">
        <f t="shared" si="15"/>
        <v>2024</v>
      </c>
      <c r="I362" s="3" t="str">
        <f t="shared" si="16"/>
        <v>May-2024</v>
      </c>
      <c r="J362">
        <f t="shared" si="17"/>
        <v>18</v>
      </c>
      <c r="K362" t="s">
        <v>47</v>
      </c>
      <c r="L362" t="s">
        <v>700</v>
      </c>
    </row>
    <row r="363" spans="1:12" x14ac:dyDescent="0.35">
      <c r="A363" t="s">
        <v>701</v>
      </c>
      <c r="B363" t="s">
        <v>16</v>
      </c>
      <c r="C363" t="s">
        <v>70</v>
      </c>
      <c r="D363">
        <v>1</v>
      </c>
      <c r="E363">
        <v>139176.04</v>
      </c>
      <c r="F363">
        <v>139176.04</v>
      </c>
      <c r="G363" s="1">
        <v>45232</v>
      </c>
      <c r="H363">
        <f t="shared" si="15"/>
        <v>2023</v>
      </c>
      <c r="I363" s="3" t="str">
        <f t="shared" si="16"/>
        <v>Nov-2023</v>
      </c>
      <c r="J363">
        <f t="shared" si="17"/>
        <v>44</v>
      </c>
      <c r="K363" t="s">
        <v>47</v>
      </c>
      <c r="L363" t="s">
        <v>702</v>
      </c>
    </row>
    <row r="364" spans="1:12" x14ac:dyDescent="0.35">
      <c r="A364" t="s">
        <v>703</v>
      </c>
      <c r="B364" t="s">
        <v>45</v>
      </c>
      <c r="C364" t="s">
        <v>55</v>
      </c>
      <c r="D364">
        <v>46</v>
      </c>
      <c r="E364">
        <v>17758.37</v>
      </c>
      <c r="F364">
        <v>816885.0199999999</v>
      </c>
      <c r="G364" s="1">
        <v>45756</v>
      </c>
      <c r="H364">
        <f t="shared" si="15"/>
        <v>2025</v>
      </c>
      <c r="I364" s="3" t="str">
        <f t="shared" si="16"/>
        <v>Apr-2025</v>
      </c>
      <c r="J364">
        <f t="shared" si="17"/>
        <v>15</v>
      </c>
      <c r="K364" t="s">
        <v>13</v>
      </c>
      <c r="L364" t="s">
        <v>704</v>
      </c>
    </row>
    <row r="365" spans="1:12" x14ac:dyDescent="0.35">
      <c r="A365" t="s">
        <v>705</v>
      </c>
      <c r="B365" t="s">
        <v>37</v>
      </c>
      <c r="C365" t="s">
        <v>23</v>
      </c>
      <c r="D365">
        <v>1</v>
      </c>
      <c r="E365">
        <v>124096.91</v>
      </c>
      <c r="F365">
        <v>124096.91</v>
      </c>
      <c r="G365" s="1">
        <v>45646</v>
      </c>
      <c r="H365">
        <f t="shared" si="15"/>
        <v>2024</v>
      </c>
      <c r="I365" s="3" t="str">
        <f t="shared" si="16"/>
        <v>Dec-2024</v>
      </c>
      <c r="J365">
        <f t="shared" si="17"/>
        <v>51</v>
      </c>
      <c r="K365" t="s">
        <v>47</v>
      </c>
      <c r="L365" t="s">
        <v>706</v>
      </c>
    </row>
    <row r="366" spans="1:12" x14ac:dyDescent="0.35">
      <c r="A366" t="s">
        <v>1047</v>
      </c>
      <c r="B366" t="s">
        <v>42</v>
      </c>
      <c r="C366" t="s">
        <v>90</v>
      </c>
      <c r="D366">
        <v>35</v>
      </c>
      <c r="E366">
        <v>125244.11</v>
      </c>
      <c r="F366">
        <v>4383543.8499999996</v>
      </c>
      <c r="G366" s="1">
        <v>45306</v>
      </c>
      <c r="H366">
        <f t="shared" si="15"/>
        <v>2024</v>
      </c>
      <c r="I366" s="3" t="str">
        <f t="shared" si="16"/>
        <v>Jan-2024</v>
      </c>
      <c r="J366">
        <f t="shared" si="17"/>
        <v>3</v>
      </c>
      <c r="K366" t="s">
        <v>28</v>
      </c>
      <c r="L366" t="s">
        <v>1125</v>
      </c>
    </row>
    <row r="367" spans="1:12" x14ac:dyDescent="0.35">
      <c r="A367" t="s">
        <v>707</v>
      </c>
      <c r="B367" t="s">
        <v>16</v>
      </c>
      <c r="C367" t="s">
        <v>23</v>
      </c>
      <c r="D367">
        <v>1</v>
      </c>
      <c r="E367">
        <v>159232.54999999999</v>
      </c>
      <c r="F367">
        <v>159232.54999999999</v>
      </c>
      <c r="G367" s="1">
        <v>45142</v>
      </c>
      <c r="H367">
        <f t="shared" si="15"/>
        <v>2023</v>
      </c>
      <c r="I367" s="3" t="str">
        <f t="shared" si="16"/>
        <v>Aug-2023</v>
      </c>
      <c r="J367">
        <f t="shared" si="17"/>
        <v>31</v>
      </c>
      <c r="K367" t="s">
        <v>47</v>
      </c>
      <c r="L367" t="s">
        <v>708</v>
      </c>
    </row>
    <row r="368" spans="1:12" x14ac:dyDescent="0.35">
      <c r="A368" t="s">
        <v>709</v>
      </c>
      <c r="B368" t="s">
        <v>45</v>
      </c>
      <c r="C368" t="s">
        <v>23</v>
      </c>
      <c r="D368">
        <v>1</v>
      </c>
      <c r="E368">
        <v>116831.51</v>
      </c>
      <c r="F368">
        <v>116831.51</v>
      </c>
      <c r="G368" s="1">
        <v>45562</v>
      </c>
      <c r="H368">
        <f t="shared" si="15"/>
        <v>2024</v>
      </c>
      <c r="I368" s="3" t="str">
        <f t="shared" si="16"/>
        <v>Sep-2024</v>
      </c>
      <c r="J368">
        <f t="shared" si="17"/>
        <v>39</v>
      </c>
      <c r="K368" t="s">
        <v>47</v>
      </c>
      <c r="L368" t="s">
        <v>710</v>
      </c>
    </row>
    <row r="369" spans="1:12" x14ac:dyDescent="0.35">
      <c r="A369" t="s">
        <v>711</v>
      </c>
      <c r="B369" t="s">
        <v>11</v>
      </c>
      <c r="C369" t="s">
        <v>17</v>
      </c>
      <c r="D369">
        <v>1</v>
      </c>
      <c r="E369">
        <v>76871.199999999997</v>
      </c>
      <c r="F369">
        <v>76871.199999999997</v>
      </c>
      <c r="G369" s="1">
        <v>45662</v>
      </c>
      <c r="H369">
        <f t="shared" si="15"/>
        <v>2025</v>
      </c>
      <c r="I369" s="3" t="str">
        <f t="shared" si="16"/>
        <v>Jan-2025</v>
      </c>
      <c r="J369">
        <f t="shared" si="17"/>
        <v>2</v>
      </c>
      <c r="K369" t="s">
        <v>47</v>
      </c>
      <c r="L369" t="s">
        <v>712</v>
      </c>
    </row>
    <row r="370" spans="1:12" x14ac:dyDescent="0.35">
      <c r="A370" t="s">
        <v>713</v>
      </c>
      <c r="B370" t="s">
        <v>89</v>
      </c>
      <c r="C370" t="s">
        <v>12</v>
      </c>
      <c r="D370">
        <v>44</v>
      </c>
      <c r="E370">
        <v>99413.77</v>
      </c>
      <c r="F370">
        <v>4374205.88</v>
      </c>
      <c r="G370" s="1">
        <v>45203</v>
      </c>
      <c r="H370">
        <f t="shared" si="15"/>
        <v>2023</v>
      </c>
      <c r="I370" s="3" t="str">
        <f t="shared" si="16"/>
        <v>Oct-2023</v>
      </c>
      <c r="J370">
        <f t="shared" si="17"/>
        <v>40</v>
      </c>
      <c r="K370" t="s">
        <v>47</v>
      </c>
      <c r="L370" t="s">
        <v>714</v>
      </c>
    </row>
    <row r="371" spans="1:12" x14ac:dyDescent="0.35">
      <c r="A371" t="s">
        <v>715</v>
      </c>
      <c r="B371" t="s">
        <v>26</v>
      </c>
      <c r="C371" t="s">
        <v>17</v>
      </c>
      <c r="D371">
        <v>1</v>
      </c>
      <c r="E371">
        <v>24181.59</v>
      </c>
      <c r="F371">
        <v>24181.59</v>
      </c>
      <c r="G371" s="1">
        <v>45266</v>
      </c>
      <c r="H371">
        <f t="shared" si="15"/>
        <v>2023</v>
      </c>
      <c r="I371" s="3" t="str">
        <f t="shared" si="16"/>
        <v>Dec-2023</v>
      </c>
      <c r="J371">
        <f t="shared" si="17"/>
        <v>49</v>
      </c>
      <c r="K371" t="s">
        <v>47</v>
      </c>
      <c r="L371" t="s">
        <v>716</v>
      </c>
    </row>
    <row r="372" spans="1:12" x14ac:dyDescent="0.35">
      <c r="A372" t="s">
        <v>717</v>
      </c>
      <c r="B372" t="s">
        <v>16</v>
      </c>
      <c r="C372" t="s">
        <v>17</v>
      </c>
      <c r="D372">
        <v>1</v>
      </c>
      <c r="E372">
        <v>0</v>
      </c>
      <c r="F372">
        <v>0</v>
      </c>
      <c r="G372" s="1">
        <v>45132</v>
      </c>
      <c r="H372">
        <f t="shared" si="15"/>
        <v>2023</v>
      </c>
      <c r="I372" s="3" t="str">
        <f t="shared" si="16"/>
        <v>Jul-2023</v>
      </c>
      <c r="J372">
        <f t="shared" si="17"/>
        <v>30</v>
      </c>
      <c r="K372" t="s">
        <v>9</v>
      </c>
      <c r="L372" t="s">
        <v>718</v>
      </c>
    </row>
    <row r="373" spans="1:12" x14ac:dyDescent="0.35">
      <c r="A373" t="s">
        <v>719</v>
      </c>
      <c r="B373" t="s">
        <v>85</v>
      </c>
      <c r="C373" t="s">
        <v>55</v>
      </c>
      <c r="D373">
        <v>1</v>
      </c>
      <c r="E373">
        <v>135211.15</v>
      </c>
      <c r="F373">
        <v>135211.15</v>
      </c>
      <c r="G373" s="1">
        <v>45460</v>
      </c>
      <c r="H373">
        <f t="shared" si="15"/>
        <v>2024</v>
      </c>
      <c r="I373" s="3" t="str">
        <f t="shared" si="16"/>
        <v>Jun-2024</v>
      </c>
      <c r="J373">
        <f t="shared" si="17"/>
        <v>25</v>
      </c>
      <c r="K373" t="s">
        <v>47</v>
      </c>
      <c r="L373" t="s">
        <v>720</v>
      </c>
    </row>
    <row r="374" spans="1:12" x14ac:dyDescent="0.35">
      <c r="A374" t="s">
        <v>721</v>
      </c>
      <c r="B374" t="s">
        <v>76</v>
      </c>
      <c r="C374" t="s">
        <v>55</v>
      </c>
      <c r="D374">
        <v>1</v>
      </c>
      <c r="E374">
        <v>111637.71</v>
      </c>
      <c r="F374">
        <v>111637.71</v>
      </c>
      <c r="G374" s="1">
        <v>45361</v>
      </c>
      <c r="H374">
        <f t="shared" si="15"/>
        <v>2024</v>
      </c>
      <c r="I374" s="3" t="str">
        <f t="shared" si="16"/>
        <v>Mar-2024</v>
      </c>
      <c r="J374">
        <f t="shared" si="17"/>
        <v>11</v>
      </c>
      <c r="K374" t="s">
        <v>13</v>
      </c>
      <c r="L374" t="s">
        <v>722</v>
      </c>
    </row>
    <row r="375" spans="1:12" x14ac:dyDescent="0.35">
      <c r="A375" t="s">
        <v>723</v>
      </c>
      <c r="B375" t="s">
        <v>34</v>
      </c>
      <c r="C375" t="s">
        <v>70</v>
      </c>
      <c r="D375">
        <v>55</v>
      </c>
      <c r="E375">
        <v>160922.84</v>
      </c>
      <c r="F375">
        <v>8850756.1999999993</v>
      </c>
      <c r="G375" s="1">
        <v>45443</v>
      </c>
      <c r="H375">
        <f t="shared" si="15"/>
        <v>2024</v>
      </c>
      <c r="I375" s="3" t="str">
        <f t="shared" si="16"/>
        <v>May-2024</v>
      </c>
      <c r="J375">
        <f t="shared" si="17"/>
        <v>22</v>
      </c>
      <c r="K375" t="s">
        <v>47</v>
      </c>
      <c r="L375" t="s">
        <v>724</v>
      </c>
    </row>
    <row r="376" spans="1:12" x14ac:dyDescent="0.35">
      <c r="A376" t="s">
        <v>725</v>
      </c>
      <c r="B376" t="s">
        <v>42</v>
      </c>
      <c r="C376" t="s">
        <v>17</v>
      </c>
      <c r="D376">
        <v>1</v>
      </c>
      <c r="E376">
        <v>248907.18</v>
      </c>
      <c r="F376">
        <v>248907.18</v>
      </c>
      <c r="G376" s="1">
        <v>45235</v>
      </c>
      <c r="H376">
        <f t="shared" si="15"/>
        <v>2023</v>
      </c>
      <c r="I376" s="3" t="str">
        <f t="shared" si="16"/>
        <v>Nov-2023</v>
      </c>
      <c r="J376">
        <f t="shared" si="17"/>
        <v>45</v>
      </c>
      <c r="K376" t="s">
        <v>13</v>
      </c>
      <c r="L376" t="s">
        <v>726</v>
      </c>
    </row>
    <row r="377" spans="1:12" x14ac:dyDescent="0.35">
      <c r="A377" t="s">
        <v>727</v>
      </c>
      <c r="B377" t="s">
        <v>34</v>
      </c>
      <c r="C377" t="s">
        <v>55</v>
      </c>
      <c r="D377">
        <v>1</v>
      </c>
      <c r="E377">
        <v>15935.22</v>
      </c>
      <c r="F377">
        <v>15935.22</v>
      </c>
      <c r="G377" s="1">
        <v>45438</v>
      </c>
      <c r="H377">
        <f t="shared" si="15"/>
        <v>2024</v>
      </c>
      <c r="I377" s="3" t="str">
        <f t="shared" si="16"/>
        <v>May-2024</v>
      </c>
      <c r="J377">
        <f t="shared" si="17"/>
        <v>22</v>
      </c>
      <c r="K377" t="s">
        <v>47</v>
      </c>
      <c r="L377" t="s">
        <v>728</v>
      </c>
    </row>
    <row r="378" spans="1:12" x14ac:dyDescent="0.35">
      <c r="A378" t="s">
        <v>729</v>
      </c>
      <c r="B378" t="s">
        <v>11</v>
      </c>
      <c r="C378" t="s">
        <v>27</v>
      </c>
      <c r="D378">
        <v>1</v>
      </c>
      <c r="E378">
        <v>113461.81</v>
      </c>
      <c r="F378">
        <v>113461.81</v>
      </c>
      <c r="G378" s="1">
        <v>45654</v>
      </c>
      <c r="H378">
        <f t="shared" si="15"/>
        <v>2024</v>
      </c>
      <c r="I378" s="3" t="str">
        <f t="shared" si="16"/>
        <v>Dec-2024</v>
      </c>
      <c r="J378">
        <f t="shared" si="17"/>
        <v>52</v>
      </c>
      <c r="K378" t="s">
        <v>47</v>
      </c>
      <c r="L378" t="s">
        <v>730</v>
      </c>
    </row>
    <row r="379" spans="1:12" x14ac:dyDescent="0.35">
      <c r="A379" t="s">
        <v>1047</v>
      </c>
      <c r="B379" t="s">
        <v>31</v>
      </c>
      <c r="C379" t="s">
        <v>27</v>
      </c>
      <c r="D379">
        <v>14</v>
      </c>
      <c r="E379">
        <v>181688.35</v>
      </c>
      <c r="F379">
        <v>2543636.9</v>
      </c>
      <c r="G379" s="1">
        <v>45276</v>
      </c>
      <c r="H379">
        <f t="shared" si="15"/>
        <v>2023</v>
      </c>
      <c r="I379" s="3" t="str">
        <f t="shared" si="16"/>
        <v>Dec-2023</v>
      </c>
      <c r="J379">
        <f t="shared" si="17"/>
        <v>50</v>
      </c>
      <c r="K379" t="s">
        <v>47</v>
      </c>
      <c r="L379" t="s">
        <v>731</v>
      </c>
    </row>
    <row r="380" spans="1:12" x14ac:dyDescent="0.35">
      <c r="A380" t="s">
        <v>732</v>
      </c>
      <c r="B380" t="s">
        <v>37</v>
      </c>
      <c r="C380" t="s">
        <v>70</v>
      </c>
      <c r="D380">
        <v>1</v>
      </c>
      <c r="E380">
        <v>12344.49</v>
      </c>
      <c r="F380">
        <v>12344.49</v>
      </c>
      <c r="G380" s="1">
        <v>45436</v>
      </c>
      <c r="H380">
        <f t="shared" si="15"/>
        <v>2024</v>
      </c>
      <c r="I380" s="3" t="str">
        <f t="shared" si="16"/>
        <v>May-2024</v>
      </c>
      <c r="J380">
        <f t="shared" si="17"/>
        <v>21</v>
      </c>
      <c r="K380" t="s">
        <v>13</v>
      </c>
      <c r="L380" t="s">
        <v>1126</v>
      </c>
    </row>
    <row r="381" spans="1:12" x14ac:dyDescent="0.35">
      <c r="A381" t="s">
        <v>733</v>
      </c>
      <c r="B381" t="s">
        <v>26</v>
      </c>
      <c r="C381" t="s">
        <v>27</v>
      </c>
      <c r="D381">
        <v>1</v>
      </c>
      <c r="E381">
        <v>22298.91</v>
      </c>
      <c r="F381">
        <v>22298.91</v>
      </c>
      <c r="G381" s="1">
        <v>45507</v>
      </c>
      <c r="H381">
        <f t="shared" si="15"/>
        <v>2024</v>
      </c>
      <c r="I381" s="3" t="str">
        <f t="shared" si="16"/>
        <v>Aug-2024</v>
      </c>
      <c r="J381">
        <f t="shared" si="17"/>
        <v>31</v>
      </c>
      <c r="K381" t="s">
        <v>13</v>
      </c>
      <c r="L381" t="s">
        <v>734</v>
      </c>
    </row>
    <row r="382" spans="1:12" x14ac:dyDescent="0.35">
      <c r="A382" t="s">
        <v>735</v>
      </c>
      <c r="B382" t="s">
        <v>34</v>
      </c>
      <c r="C382" t="s">
        <v>70</v>
      </c>
      <c r="D382">
        <v>1</v>
      </c>
      <c r="E382">
        <v>0</v>
      </c>
      <c r="F382">
        <v>0</v>
      </c>
      <c r="G382" s="1">
        <v>45719</v>
      </c>
      <c r="H382">
        <f t="shared" si="15"/>
        <v>2025</v>
      </c>
      <c r="I382" s="3" t="str">
        <f t="shared" si="16"/>
        <v>Mar-2025</v>
      </c>
      <c r="J382">
        <f t="shared" si="17"/>
        <v>10</v>
      </c>
      <c r="K382" t="s">
        <v>13</v>
      </c>
      <c r="L382" t="s">
        <v>736</v>
      </c>
    </row>
    <row r="383" spans="1:12" x14ac:dyDescent="0.35">
      <c r="A383" t="s">
        <v>737</v>
      </c>
      <c r="B383" t="s">
        <v>45</v>
      </c>
      <c r="C383" t="s">
        <v>90</v>
      </c>
      <c r="D383">
        <v>1</v>
      </c>
      <c r="E383">
        <v>241492.86</v>
      </c>
      <c r="F383">
        <v>241492.86</v>
      </c>
      <c r="G383" s="1">
        <v>45592</v>
      </c>
      <c r="H383">
        <f t="shared" si="15"/>
        <v>2024</v>
      </c>
      <c r="I383" s="3" t="str">
        <f t="shared" si="16"/>
        <v>Oct-2024</v>
      </c>
      <c r="J383">
        <f t="shared" si="17"/>
        <v>44</v>
      </c>
      <c r="K383" t="s">
        <v>47</v>
      </c>
      <c r="L383" t="s">
        <v>738</v>
      </c>
    </row>
    <row r="384" spans="1:12" x14ac:dyDescent="0.35">
      <c r="A384" t="s">
        <v>1055</v>
      </c>
      <c r="B384" t="s">
        <v>109</v>
      </c>
      <c r="C384" t="s">
        <v>55</v>
      </c>
      <c r="D384">
        <v>1</v>
      </c>
      <c r="E384">
        <v>176481.31</v>
      </c>
      <c r="F384">
        <v>176481.31</v>
      </c>
      <c r="G384" s="1">
        <v>45832</v>
      </c>
      <c r="H384">
        <f t="shared" si="15"/>
        <v>2025</v>
      </c>
      <c r="I384" s="3" t="str">
        <f t="shared" si="16"/>
        <v>Jun-2025</v>
      </c>
      <c r="J384">
        <f t="shared" si="17"/>
        <v>26</v>
      </c>
      <c r="K384" t="s">
        <v>13</v>
      </c>
      <c r="L384" t="s">
        <v>739</v>
      </c>
    </row>
    <row r="385" spans="1:12" x14ac:dyDescent="0.35">
      <c r="A385" t="s">
        <v>740</v>
      </c>
      <c r="B385" t="s">
        <v>79</v>
      </c>
      <c r="C385" t="s">
        <v>17</v>
      </c>
      <c r="D385">
        <v>1</v>
      </c>
      <c r="E385">
        <v>201599.43</v>
      </c>
      <c r="F385">
        <v>201599.43</v>
      </c>
      <c r="G385" s="1">
        <v>45484</v>
      </c>
      <c r="H385">
        <f t="shared" si="15"/>
        <v>2024</v>
      </c>
      <c r="I385" s="3" t="str">
        <f t="shared" si="16"/>
        <v>Jul-2024</v>
      </c>
      <c r="J385">
        <f t="shared" si="17"/>
        <v>28</v>
      </c>
      <c r="K385" t="s">
        <v>47</v>
      </c>
      <c r="L385" t="s">
        <v>741</v>
      </c>
    </row>
    <row r="386" spans="1:12" x14ac:dyDescent="0.35">
      <c r="A386" t="s">
        <v>742</v>
      </c>
      <c r="B386" t="s">
        <v>34</v>
      </c>
      <c r="C386" t="s">
        <v>70</v>
      </c>
      <c r="D386">
        <v>58</v>
      </c>
      <c r="E386">
        <v>65496.45</v>
      </c>
      <c r="F386">
        <v>3798794.0999999996</v>
      </c>
      <c r="G386" s="1">
        <v>45795</v>
      </c>
      <c r="H386">
        <f t="shared" si="15"/>
        <v>2025</v>
      </c>
      <c r="I386" s="3" t="str">
        <f t="shared" si="16"/>
        <v>May-2025</v>
      </c>
      <c r="J386">
        <f t="shared" si="17"/>
        <v>21</v>
      </c>
      <c r="K386" t="s">
        <v>9</v>
      </c>
      <c r="L386" t="s">
        <v>743</v>
      </c>
    </row>
    <row r="387" spans="1:12" x14ac:dyDescent="0.35">
      <c r="A387" t="s">
        <v>744</v>
      </c>
      <c r="B387" t="s">
        <v>26</v>
      </c>
      <c r="C387" t="s">
        <v>70</v>
      </c>
      <c r="D387">
        <v>1</v>
      </c>
      <c r="E387">
        <v>63062.28</v>
      </c>
      <c r="F387">
        <v>63062.28</v>
      </c>
      <c r="G387" s="1">
        <v>45776</v>
      </c>
      <c r="H387">
        <f t="shared" ref="H387:H450" si="18">YEAR(G387)</f>
        <v>2025</v>
      </c>
      <c r="I387" s="3" t="str">
        <f t="shared" ref="I387:I450" si="19">TEXT(G387,"mmm-yyyy")</f>
        <v>Apr-2025</v>
      </c>
      <c r="J387">
        <f t="shared" ref="J387:J450" si="20">WEEKNUM(G387)</f>
        <v>18</v>
      </c>
      <c r="K387" t="s">
        <v>47</v>
      </c>
      <c r="L387" t="s">
        <v>745</v>
      </c>
    </row>
    <row r="388" spans="1:12" x14ac:dyDescent="0.35">
      <c r="A388" t="s">
        <v>746</v>
      </c>
      <c r="B388" t="s">
        <v>42</v>
      </c>
      <c r="C388" t="s">
        <v>12</v>
      </c>
      <c r="D388">
        <v>1</v>
      </c>
      <c r="E388">
        <v>272156.33</v>
      </c>
      <c r="F388">
        <v>272156.33</v>
      </c>
      <c r="G388" s="1">
        <v>45689</v>
      </c>
      <c r="H388">
        <f t="shared" si="18"/>
        <v>2025</v>
      </c>
      <c r="I388" s="3" t="str">
        <f t="shared" si="19"/>
        <v>Feb-2025</v>
      </c>
      <c r="J388">
        <f t="shared" si="20"/>
        <v>5</v>
      </c>
      <c r="K388" t="s">
        <v>28</v>
      </c>
      <c r="L388" t="s">
        <v>747</v>
      </c>
    </row>
    <row r="389" spans="1:12" x14ac:dyDescent="0.35">
      <c r="A389" t="s">
        <v>748</v>
      </c>
      <c r="B389" t="s">
        <v>26</v>
      </c>
      <c r="C389" t="s">
        <v>17</v>
      </c>
      <c r="D389">
        <v>1</v>
      </c>
      <c r="E389">
        <v>91304.81</v>
      </c>
      <c r="F389">
        <v>91304.81</v>
      </c>
      <c r="G389" s="1">
        <v>45682</v>
      </c>
      <c r="H389">
        <f t="shared" si="18"/>
        <v>2025</v>
      </c>
      <c r="I389" s="3" t="str">
        <f t="shared" si="19"/>
        <v>Jan-2025</v>
      </c>
      <c r="J389">
        <f t="shared" si="20"/>
        <v>4</v>
      </c>
      <c r="K389" t="s">
        <v>9</v>
      </c>
      <c r="L389" t="s">
        <v>749</v>
      </c>
    </row>
    <row r="390" spans="1:12" x14ac:dyDescent="0.35">
      <c r="A390" t="s">
        <v>750</v>
      </c>
      <c r="B390" t="s">
        <v>45</v>
      </c>
      <c r="C390" t="s">
        <v>90</v>
      </c>
      <c r="D390">
        <v>8</v>
      </c>
      <c r="E390">
        <v>272743.75</v>
      </c>
      <c r="F390">
        <v>2181950</v>
      </c>
      <c r="G390" s="1">
        <v>45166</v>
      </c>
      <c r="H390">
        <f t="shared" si="18"/>
        <v>2023</v>
      </c>
      <c r="I390" s="3" t="str">
        <f t="shared" si="19"/>
        <v>Aug-2023</v>
      </c>
      <c r="J390">
        <f t="shared" si="20"/>
        <v>35</v>
      </c>
      <c r="K390" t="s">
        <v>13</v>
      </c>
      <c r="L390" t="s">
        <v>751</v>
      </c>
    </row>
    <row r="391" spans="1:12" x14ac:dyDescent="0.35">
      <c r="A391" t="s">
        <v>752</v>
      </c>
      <c r="B391" t="s">
        <v>131</v>
      </c>
      <c r="C391" t="s">
        <v>12</v>
      </c>
      <c r="D391">
        <v>1</v>
      </c>
      <c r="E391">
        <v>63936.43</v>
      </c>
      <c r="F391">
        <v>63936.43</v>
      </c>
      <c r="G391" s="1">
        <v>45666</v>
      </c>
      <c r="H391">
        <f t="shared" si="18"/>
        <v>2025</v>
      </c>
      <c r="I391" s="3" t="str">
        <f t="shared" si="19"/>
        <v>Jan-2025</v>
      </c>
      <c r="J391">
        <f t="shared" si="20"/>
        <v>2</v>
      </c>
      <c r="K391" t="s">
        <v>47</v>
      </c>
      <c r="L391" t="s">
        <v>753</v>
      </c>
    </row>
    <row r="392" spans="1:12" x14ac:dyDescent="0.35">
      <c r="A392" t="s">
        <v>1047</v>
      </c>
      <c r="B392" t="s">
        <v>109</v>
      </c>
      <c r="C392" t="s">
        <v>55</v>
      </c>
      <c r="D392">
        <v>1</v>
      </c>
      <c r="E392">
        <v>0</v>
      </c>
      <c r="F392">
        <v>0</v>
      </c>
      <c r="G392" s="1">
        <v>45225</v>
      </c>
      <c r="H392">
        <f t="shared" si="18"/>
        <v>2023</v>
      </c>
      <c r="I392" s="3" t="str">
        <f t="shared" si="19"/>
        <v>Oct-2023</v>
      </c>
      <c r="J392">
        <f t="shared" si="20"/>
        <v>43</v>
      </c>
      <c r="K392" t="s">
        <v>47</v>
      </c>
      <c r="L392" t="s">
        <v>754</v>
      </c>
    </row>
    <row r="393" spans="1:12" x14ac:dyDescent="0.35">
      <c r="A393" t="s">
        <v>755</v>
      </c>
      <c r="B393" t="s">
        <v>45</v>
      </c>
      <c r="C393" t="s">
        <v>46</v>
      </c>
      <c r="D393">
        <v>1</v>
      </c>
      <c r="E393">
        <v>57412.1</v>
      </c>
      <c r="F393">
        <v>57412.1</v>
      </c>
      <c r="G393" s="1">
        <v>45520</v>
      </c>
      <c r="H393">
        <f t="shared" si="18"/>
        <v>2024</v>
      </c>
      <c r="I393" s="3" t="str">
        <f t="shared" si="19"/>
        <v>Aug-2024</v>
      </c>
      <c r="J393">
        <f t="shared" si="20"/>
        <v>33</v>
      </c>
      <c r="K393" t="s">
        <v>47</v>
      </c>
      <c r="L393" t="s">
        <v>756</v>
      </c>
    </row>
    <row r="394" spans="1:12" x14ac:dyDescent="0.35">
      <c r="A394" t="s">
        <v>757</v>
      </c>
      <c r="B394" t="s">
        <v>109</v>
      </c>
      <c r="C394" t="s">
        <v>17</v>
      </c>
      <c r="D394">
        <v>87</v>
      </c>
      <c r="E394">
        <v>222571.82</v>
      </c>
      <c r="F394">
        <v>19363748.34</v>
      </c>
      <c r="G394" s="1">
        <v>45279</v>
      </c>
      <c r="H394">
        <f t="shared" si="18"/>
        <v>2023</v>
      </c>
      <c r="I394" s="3" t="str">
        <f t="shared" si="19"/>
        <v>Dec-2023</v>
      </c>
      <c r="J394">
        <f t="shared" si="20"/>
        <v>51</v>
      </c>
      <c r="K394" t="s">
        <v>47</v>
      </c>
      <c r="L394" t="s">
        <v>1127</v>
      </c>
    </row>
    <row r="395" spans="1:12" x14ac:dyDescent="0.35">
      <c r="A395" t="s">
        <v>758</v>
      </c>
      <c r="B395" t="s">
        <v>53</v>
      </c>
      <c r="C395" t="s">
        <v>46</v>
      </c>
      <c r="D395">
        <v>4</v>
      </c>
      <c r="E395">
        <v>224190.33</v>
      </c>
      <c r="F395">
        <v>896761.32</v>
      </c>
      <c r="G395" s="1">
        <v>45553</v>
      </c>
      <c r="H395">
        <f t="shared" si="18"/>
        <v>2024</v>
      </c>
      <c r="I395" s="3" t="str">
        <f t="shared" si="19"/>
        <v>Sep-2024</v>
      </c>
      <c r="J395">
        <f t="shared" si="20"/>
        <v>38</v>
      </c>
      <c r="K395" t="s">
        <v>13</v>
      </c>
      <c r="L395" t="s">
        <v>759</v>
      </c>
    </row>
    <row r="396" spans="1:12" x14ac:dyDescent="0.35">
      <c r="A396" t="s">
        <v>760</v>
      </c>
      <c r="B396" t="s">
        <v>20</v>
      </c>
      <c r="C396" t="s">
        <v>17</v>
      </c>
      <c r="D396">
        <v>1</v>
      </c>
      <c r="E396">
        <v>226422.06</v>
      </c>
      <c r="F396">
        <v>226422.06</v>
      </c>
      <c r="G396" s="1">
        <v>45370</v>
      </c>
      <c r="H396">
        <f t="shared" si="18"/>
        <v>2024</v>
      </c>
      <c r="I396" s="3" t="str">
        <f t="shared" si="19"/>
        <v>Mar-2024</v>
      </c>
      <c r="J396">
        <f t="shared" si="20"/>
        <v>12</v>
      </c>
      <c r="K396" t="s">
        <v>47</v>
      </c>
      <c r="L396" t="s">
        <v>761</v>
      </c>
    </row>
    <row r="397" spans="1:12" x14ac:dyDescent="0.35">
      <c r="A397" t="s">
        <v>762</v>
      </c>
      <c r="B397" t="s">
        <v>31</v>
      </c>
      <c r="C397" t="s">
        <v>90</v>
      </c>
      <c r="D397">
        <v>57</v>
      </c>
      <c r="E397">
        <v>274375.17</v>
      </c>
      <c r="F397">
        <v>15639384.689999999</v>
      </c>
      <c r="G397" s="1">
        <v>45632</v>
      </c>
      <c r="H397">
        <f t="shared" si="18"/>
        <v>2024</v>
      </c>
      <c r="I397" s="3" t="str">
        <f t="shared" si="19"/>
        <v>Dec-2024</v>
      </c>
      <c r="J397">
        <f t="shared" si="20"/>
        <v>49</v>
      </c>
      <c r="K397" t="s">
        <v>28</v>
      </c>
      <c r="L397" t="s">
        <v>763</v>
      </c>
    </row>
    <row r="398" spans="1:12" x14ac:dyDescent="0.35">
      <c r="A398" t="s">
        <v>764</v>
      </c>
      <c r="B398" t="s">
        <v>109</v>
      </c>
      <c r="C398" t="s">
        <v>12</v>
      </c>
      <c r="D398">
        <v>17</v>
      </c>
      <c r="E398">
        <v>208840.07</v>
      </c>
      <c r="F398">
        <v>3550281.19</v>
      </c>
      <c r="G398" s="1">
        <v>45489</v>
      </c>
      <c r="H398">
        <f t="shared" si="18"/>
        <v>2024</v>
      </c>
      <c r="I398" s="3" t="str">
        <f t="shared" si="19"/>
        <v>Jul-2024</v>
      </c>
      <c r="J398">
        <f t="shared" si="20"/>
        <v>29</v>
      </c>
      <c r="K398" t="s">
        <v>28</v>
      </c>
      <c r="L398" t="s">
        <v>765</v>
      </c>
    </row>
    <row r="399" spans="1:12" x14ac:dyDescent="0.35">
      <c r="A399" t="s">
        <v>766</v>
      </c>
      <c r="B399" t="s">
        <v>34</v>
      </c>
      <c r="C399" t="s">
        <v>70</v>
      </c>
      <c r="D399">
        <v>1</v>
      </c>
      <c r="E399">
        <v>211278.69</v>
      </c>
      <c r="F399">
        <v>211278.69</v>
      </c>
      <c r="G399" s="1">
        <v>45526</v>
      </c>
      <c r="H399">
        <f t="shared" si="18"/>
        <v>2024</v>
      </c>
      <c r="I399" s="3" t="str">
        <f t="shared" si="19"/>
        <v>Aug-2024</v>
      </c>
      <c r="J399">
        <f t="shared" si="20"/>
        <v>34</v>
      </c>
      <c r="K399" t="s">
        <v>47</v>
      </c>
      <c r="L399" t="s">
        <v>767</v>
      </c>
    </row>
    <row r="400" spans="1:12" x14ac:dyDescent="0.35">
      <c r="A400" t="s">
        <v>768</v>
      </c>
      <c r="B400" t="s">
        <v>42</v>
      </c>
      <c r="C400" t="s">
        <v>12</v>
      </c>
      <c r="D400">
        <v>1</v>
      </c>
      <c r="E400">
        <v>119291.3</v>
      </c>
      <c r="F400">
        <v>119291.3</v>
      </c>
      <c r="G400" s="1">
        <v>45410</v>
      </c>
      <c r="H400">
        <f t="shared" si="18"/>
        <v>2024</v>
      </c>
      <c r="I400" s="3" t="str">
        <f t="shared" si="19"/>
        <v>Apr-2024</v>
      </c>
      <c r="J400">
        <f t="shared" si="20"/>
        <v>18</v>
      </c>
      <c r="K400" t="s">
        <v>47</v>
      </c>
      <c r="L400" t="s">
        <v>769</v>
      </c>
    </row>
    <row r="401" spans="1:12" x14ac:dyDescent="0.35">
      <c r="A401" t="s">
        <v>770</v>
      </c>
      <c r="B401" t="s">
        <v>61</v>
      </c>
      <c r="C401" t="s">
        <v>46</v>
      </c>
      <c r="D401">
        <v>1</v>
      </c>
      <c r="E401">
        <v>72179.62</v>
      </c>
      <c r="F401">
        <v>72179.62</v>
      </c>
      <c r="G401" s="1">
        <v>45361</v>
      </c>
      <c r="H401">
        <f t="shared" si="18"/>
        <v>2024</v>
      </c>
      <c r="I401" s="3" t="str">
        <f t="shared" si="19"/>
        <v>Mar-2024</v>
      </c>
      <c r="J401">
        <f t="shared" si="20"/>
        <v>11</v>
      </c>
      <c r="K401" t="s">
        <v>13</v>
      </c>
      <c r="L401" t="s">
        <v>771</v>
      </c>
    </row>
    <row r="402" spans="1:12" x14ac:dyDescent="0.35">
      <c r="A402" t="s">
        <v>772</v>
      </c>
      <c r="B402" t="s">
        <v>26</v>
      </c>
      <c r="C402" t="s">
        <v>17</v>
      </c>
      <c r="D402">
        <v>1</v>
      </c>
      <c r="E402">
        <v>0</v>
      </c>
      <c r="F402">
        <v>0</v>
      </c>
      <c r="G402" s="1">
        <v>45252</v>
      </c>
      <c r="H402">
        <f t="shared" si="18"/>
        <v>2023</v>
      </c>
      <c r="I402" s="3" t="str">
        <f t="shared" si="19"/>
        <v>Nov-2023</v>
      </c>
      <c r="J402">
        <f t="shared" si="20"/>
        <v>47</v>
      </c>
      <c r="K402" t="s">
        <v>28</v>
      </c>
      <c r="L402" s="2" t="s">
        <v>773</v>
      </c>
    </row>
    <row r="403" spans="1:12" x14ac:dyDescent="0.35">
      <c r="A403" t="s">
        <v>774</v>
      </c>
      <c r="B403" t="s">
        <v>20</v>
      </c>
      <c r="C403" t="s">
        <v>23</v>
      </c>
      <c r="D403">
        <v>1</v>
      </c>
      <c r="E403">
        <v>96823.7</v>
      </c>
      <c r="F403">
        <v>96823.7</v>
      </c>
      <c r="G403" s="1">
        <v>45475</v>
      </c>
      <c r="H403">
        <f t="shared" si="18"/>
        <v>2024</v>
      </c>
      <c r="I403" s="3" t="str">
        <f t="shared" si="19"/>
        <v>Jul-2024</v>
      </c>
      <c r="J403">
        <f t="shared" si="20"/>
        <v>27</v>
      </c>
      <c r="K403" t="s">
        <v>28</v>
      </c>
      <c r="L403" t="s">
        <v>775</v>
      </c>
    </row>
    <row r="404" spans="1:12" x14ac:dyDescent="0.35">
      <c r="A404" t="s">
        <v>776</v>
      </c>
      <c r="B404" t="s">
        <v>85</v>
      </c>
      <c r="C404" t="s">
        <v>55</v>
      </c>
      <c r="D404">
        <v>1</v>
      </c>
      <c r="E404">
        <v>85276.23</v>
      </c>
      <c r="F404">
        <v>85276.23</v>
      </c>
      <c r="G404" s="1">
        <v>45826</v>
      </c>
      <c r="H404">
        <f t="shared" si="18"/>
        <v>2025</v>
      </c>
      <c r="I404" s="3" t="str">
        <f t="shared" si="19"/>
        <v>Jun-2025</v>
      </c>
      <c r="J404">
        <f t="shared" si="20"/>
        <v>25</v>
      </c>
      <c r="K404" t="s">
        <v>28</v>
      </c>
      <c r="L404" t="s">
        <v>777</v>
      </c>
    </row>
    <row r="405" spans="1:12" x14ac:dyDescent="0.35">
      <c r="A405" t="s">
        <v>1047</v>
      </c>
      <c r="B405" t="s">
        <v>85</v>
      </c>
      <c r="C405" t="s">
        <v>70</v>
      </c>
      <c r="D405">
        <v>1</v>
      </c>
      <c r="E405">
        <v>140142.01</v>
      </c>
      <c r="F405">
        <v>140142.01</v>
      </c>
      <c r="G405" s="1">
        <v>45532</v>
      </c>
      <c r="H405">
        <f t="shared" si="18"/>
        <v>2024</v>
      </c>
      <c r="I405" s="3" t="str">
        <f t="shared" si="19"/>
        <v>Aug-2024</v>
      </c>
      <c r="J405">
        <f t="shared" si="20"/>
        <v>35</v>
      </c>
      <c r="K405" t="s">
        <v>9</v>
      </c>
      <c r="L405" t="s">
        <v>778</v>
      </c>
    </row>
    <row r="406" spans="1:12" x14ac:dyDescent="0.35">
      <c r="A406" t="s">
        <v>779</v>
      </c>
      <c r="B406" t="s">
        <v>42</v>
      </c>
      <c r="C406" t="s">
        <v>46</v>
      </c>
      <c r="D406">
        <v>98</v>
      </c>
      <c r="E406">
        <v>194792.04</v>
      </c>
      <c r="F406">
        <v>19089619.920000002</v>
      </c>
      <c r="G406" s="1">
        <v>45383</v>
      </c>
      <c r="H406">
        <f t="shared" si="18"/>
        <v>2024</v>
      </c>
      <c r="I406" s="3" t="str">
        <f t="shared" si="19"/>
        <v>Apr-2024</v>
      </c>
      <c r="J406">
        <f t="shared" si="20"/>
        <v>14</v>
      </c>
      <c r="K406" t="s">
        <v>9</v>
      </c>
      <c r="L406" t="s">
        <v>780</v>
      </c>
    </row>
    <row r="407" spans="1:12" x14ac:dyDescent="0.35">
      <c r="A407" t="s">
        <v>781</v>
      </c>
      <c r="B407" t="s">
        <v>11</v>
      </c>
      <c r="C407" t="s">
        <v>55</v>
      </c>
      <c r="D407">
        <v>74</v>
      </c>
      <c r="E407">
        <v>92872.47</v>
      </c>
      <c r="F407">
        <v>6872562.7800000003</v>
      </c>
      <c r="G407" s="1">
        <v>45542</v>
      </c>
      <c r="H407">
        <f t="shared" si="18"/>
        <v>2024</v>
      </c>
      <c r="I407" s="3" t="str">
        <f t="shared" si="19"/>
        <v>Sep-2024</v>
      </c>
      <c r="J407">
        <f t="shared" si="20"/>
        <v>36</v>
      </c>
      <c r="K407" t="s">
        <v>28</v>
      </c>
      <c r="L407" t="s">
        <v>782</v>
      </c>
    </row>
    <row r="408" spans="1:12" x14ac:dyDescent="0.35">
      <c r="A408" t="s">
        <v>783</v>
      </c>
      <c r="B408" t="s">
        <v>85</v>
      </c>
      <c r="C408" t="s">
        <v>70</v>
      </c>
      <c r="D408">
        <v>1</v>
      </c>
      <c r="E408">
        <v>108213.56</v>
      </c>
      <c r="F408">
        <v>108213.56</v>
      </c>
      <c r="G408" s="1">
        <v>45393</v>
      </c>
      <c r="H408">
        <f t="shared" si="18"/>
        <v>2024</v>
      </c>
      <c r="I408" s="3" t="str">
        <f t="shared" si="19"/>
        <v>Apr-2024</v>
      </c>
      <c r="J408">
        <f t="shared" si="20"/>
        <v>15</v>
      </c>
      <c r="K408" t="s">
        <v>47</v>
      </c>
      <c r="L408" t="s">
        <v>1128</v>
      </c>
    </row>
    <row r="409" spans="1:12" x14ac:dyDescent="0.35">
      <c r="A409" t="s">
        <v>784</v>
      </c>
      <c r="B409" t="s">
        <v>89</v>
      </c>
      <c r="C409" t="s">
        <v>55</v>
      </c>
      <c r="D409">
        <v>1</v>
      </c>
      <c r="E409">
        <v>264902.18</v>
      </c>
      <c r="F409">
        <v>264902.18</v>
      </c>
      <c r="G409" s="1">
        <v>45642</v>
      </c>
      <c r="H409">
        <f t="shared" si="18"/>
        <v>2024</v>
      </c>
      <c r="I409" s="3" t="str">
        <f t="shared" si="19"/>
        <v>Dec-2024</v>
      </c>
      <c r="J409">
        <f t="shared" si="20"/>
        <v>51</v>
      </c>
      <c r="K409" t="s">
        <v>13</v>
      </c>
      <c r="L409" t="s">
        <v>785</v>
      </c>
    </row>
    <row r="410" spans="1:12" x14ac:dyDescent="0.35">
      <c r="A410" t="s">
        <v>786</v>
      </c>
      <c r="B410" t="s">
        <v>42</v>
      </c>
      <c r="C410" t="s">
        <v>17</v>
      </c>
      <c r="D410">
        <v>1</v>
      </c>
      <c r="E410">
        <v>140068.22</v>
      </c>
      <c r="F410">
        <v>140068.22</v>
      </c>
      <c r="G410" s="1">
        <v>45717</v>
      </c>
      <c r="H410">
        <f t="shared" si="18"/>
        <v>2025</v>
      </c>
      <c r="I410" s="3" t="str">
        <f t="shared" si="19"/>
        <v>Mar-2025</v>
      </c>
      <c r="J410">
        <f t="shared" si="20"/>
        <v>9</v>
      </c>
      <c r="K410" t="s">
        <v>13</v>
      </c>
      <c r="L410" t="s">
        <v>787</v>
      </c>
    </row>
    <row r="411" spans="1:12" x14ac:dyDescent="0.35">
      <c r="A411" t="s">
        <v>788</v>
      </c>
      <c r="B411" t="s">
        <v>20</v>
      </c>
      <c r="C411" t="s">
        <v>90</v>
      </c>
      <c r="D411">
        <v>32</v>
      </c>
      <c r="E411">
        <v>240943.58</v>
      </c>
      <c r="F411">
        <v>7710194.5599999996</v>
      </c>
      <c r="G411" s="1">
        <v>45791</v>
      </c>
      <c r="H411">
        <f t="shared" si="18"/>
        <v>2025</v>
      </c>
      <c r="I411" s="3" t="str">
        <f t="shared" si="19"/>
        <v>May-2025</v>
      </c>
      <c r="J411">
        <f t="shared" si="20"/>
        <v>20</v>
      </c>
      <c r="K411" t="s">
        <v>28</v>
      </c>
      <c r="L411" t="s">
        <v>789</v>
      </c>
    </row>
    <row r="412" spans="1:12" x14ac:dyDescent="0.35">
      <c r="A412" t="s">
        <v>790</v>
      </c>
      <c r="B412" t="s">
        <v>16</v>
      </c>
      <c r="C412" t="s">
        <v>46</v>
      </c>
      <c r="D412">
        <v>1</v>
      </c>
      <c r="E412">
        <v>0</v>
      </c>
      <c r="F412">
        <v>0</v>
      </c>
      <c r="G412" s="1">
        <v>45677</v>
      </c>
      <c r="H412">
        <f t="shared" si="18"/>
        <v>2025</v>
      </c>
      <c r="I412" s="3" t="str">
        <f t="shared" si="19"/>
        <v>Jan-2025</v>
      </c>
      <c r="J412">
        <f t="shared" si="20"/>
        <v>4</v>
      </c>
      <c r="K412" t="s">
        <v>28</v>
      </c>
      <c r="L412" t="s">
        <v>791</v>
      </c>
    </row>
    <row r="413" spans="1:12" x14ac:dyDescent="0.35">
      <c r="A413" t="s">
        <v>792</v>
      </c>
      <c r="B413" t="s">
        <v>85</v>
      </c>
      <c r="C413" t="s">
        <v>27</v>
      </c>
      <c r="D413">
        <v>1</v>
      </c>
      <c r="E413">
        <v>216862.87</v>
      </c>
      <c r="F413">
        <v>216862.87</v>
      </c>
      <c r="G413" s="1">
        <v>45646</v>
      </c>
      <c r="H413">
        <f t="shared" si="18"/>
        <v>2024</v>
      </c>
      <c r="I413" s="3" t="str">
        <f t="shared" si="19"/>
        <v>Dec-2024</v>
      </c>
      <c r="J413">
        <f t="shared" si="20"/>
        <v>51</v>
      </c>
      <c r="K413" t="s">
        <v>13</v>
      </c>
      <c r="L413" t="s">
        <v>793</v>
      </c>
    </row>
    <row r="414" spans="1:12" x14ac:dyDescent="0.35">
      <c r="A414" t="s">
        <v>794</v>
      </c>
      <c r="B414" t="s">
        <v>31</v>
      </c>
      <c r="C414" t="s">
        <v>23</v>
      </c>
      <c r="D414">
        <v>1</v>
      </c>
      <c r="E414">
        <v>228607.88</v>
      </c>
      <c r="F414">
        <v>228607.88</v>
      </c>
      <c r="G414" s="1">
        <v>45617</v>
      </c>
      <c r="H414">
        <f t="shared" si="18"/>
        <v>2024</v>
      </c>
      <c r="I414" s="3" t="str">
        <f t="shared" si="19"/>
        <v>Nov-2024</v>
      </c>
      <c r="J414">
        <f t="shared" si="20"/>
        <v>47</v>
      </c>
      <c r="K414" t="s">
        <v>47</v>
      </c>
      <c r="L414" t="s">
        <v>795</v>
      </c>
    </row>
    <row r="415" spans="1:12" x14ac:dyDescent="0.35">
      <c r="A415" t="s">
        <v>796</v>
      </c>
      <c r="B415" t="s">
        <v>105</v>
      </c>
      <c r="C415" t="s">
        <v>27</v>
      </c>
      <c r="D415">
        <v>72</v>
      </c>
      <c r="E415">
        <v>96409.87</v>
      </c>
      <c r="F415">
        <v>6941510.6399999997</v>
      </c>
      <c r="G415" s="1">
        <v>45742</v>
      </c>
      <c r="H415">
        <f t="shared" si="18"/>
        <v>2025</v>
      </c>
      <c r="I415" s="3" t="str">
        <f t="shared" si="19"/>
        <v>Mar-2025</v>
      </c>
      <c r="J415">
        <f t="shared" si="20"/>
        <v>13</v>
      </c>
      <c r="K415" t="s">
        <v>9</v>
      </c>
      <c r="L415" t="s">
        <v>797</v>
      </c>
    </row>
    <row r="416" spans="1:12" x14ac:dyDescent="0.35">
      <c r="A416" t="s">
        <v>798</v>
      </c>
      <c r="B416" t="s">
        <v>45</v>
      </c>
      <c r="C416" t="s">
        <v>46</v>
      </c>
      <c r="D416">
        <v>1</v>
      </c>
      <c r="E416">
        <v>61336.68</v>
      </c>
      <c r="F416">
        <v>61336.68</v>
      </c>
      <c r="G416" s="1">
        <v>45656</v>
      </c>
      <c r="H416">
        <f t="shared" si="18"/>
        <v>2024</v>
      </c>
      <c r="I416" s="3" t="str">
        <f t="shared" si="19"/>
        <v>Dec-2024</v>
      </c>
      <c r="J416">
        <f t="shared" si="20"/>
        <v>53</v>
      </c>
      <c r="K416" t="s">
        <v>9</v>
      </c>
      <c r="L416" t="s">
        <v>799</v>
      </c>
    </row>
    <row r="417" spans="1:12" x14ac:dyDescent="0.35">
      <c r="A417" t="s">
        <v>800</v>
      </c>
      <c r="B417" t="s">
        <v>213</v>
      </c>
      <c r="C417" t="s">
        <v>70</v>
      </c>
      <c r="D417">
        <v>1</v>
      </c>
      <c r="E417">
        <v>94220.14</v>
      </c>
      <c r="F417">
        <v>94220.14</v>
      </c>
      <c r="G417" s="1">
        <v>45323</v>
      </c>
      <c r="H417">
        <f t="shared" si="18"/>
        <v>2024</v>
      </c>
      <c r="I417" s="3" t="str">
        <f t="shared" si="19"/>
        <v>Feb-2024</v>
      </c>
      <c r="J417">
        <f t="shared" si="20"/>
        <v>5</v>
      </c>
      <c r="K417" t="s">
        <v>28</v>
      </c>
      <c r="L417" t="s">
        <v>801</v>
      </c>
    </row>
    <row r="418" spans="1:12" x14ac:dyDescent="0.35">
      <c r="A418" t="s">
        <v>1047</v>
      </c>
      <c r="B418" t="s">
        <v>20</v>
      </c>
      <c r="C418" t="s">
        <v>46</v>
      </c>
      <c r="D418">
        <v>1</v>
      </c>
      <c r="E418">
        <v>14191.78</v>
      </c>
      <c r="F418">
        <v>14191.78</v>
      </c>
      <c r="G418" s="1">
        <v>45591</v>
      </c>
      <c r="H418">
        <f t="shared" si="18"/>
        <v>2024</v>
      </c>
      <c r="I418" s="3" t="str">
        <f t="shared" si="19"/>
        <v>Oct-2024</v>
      </c>
      <c r="J418">
        <f t="shared" si="20"/>
        <v>43</v>
      </c>
      <c r="K418" t="s">
        <v>13</v>
      </c>
      <c r="L418" t="s">
        <v>802</v>
      </c>
    </row>
    <row r="419" spans="1:12" x14ac:dyDescent="0.35">
      <c r="A419" t="s">
        <v>803</v>
      </c>
      <c r="B419" t="s">
        <v>53</v>
      </c>
      <c r="C419" t="s">
        <v>46</v>
      </c>
      <c r="D419">
        <v>1</v>
      </c>
      <c r="E419">
        <v>259293.41</v>
      </c>
      <c r="F419">
        <v>259293.41</v>
      </c>
      <c r="G419" s="1">
        <v>45494</v>
      </c>
      <c r="H419">
        <f t="shared" si="18"/>
        <v>2024</v>
      </c>
      <c r="I419" s="3" t="str">
        <f t="shared" si="19"/>
        <v>Jul-2024</v>
      </c>
      <c r="J419">
        <f t="shared" si="20"/>
        <v>30</v>
      </c>
      <c r="K419" t="s">
        <v>9</v>
      </c>
      <c r="L419" t="s">
        <v>804</v>
      </c>
    </row>
    <row r="420" spans="1:12" x14ac:dyDescent="0.35">
      <c r="A420" t="s">
        <v>805</v>
      </c>
      <c r="B420" t="s">
        <v>76</v>
      </c>
      <c r="C420" t="s">
        <v>17</v>
      </c>
      <c r="D420">
        <v>63</v>
      </c>
      <c r="E420">
        <v>222505.09</v>
      </c>
      <c r="F420">
        <v>14017820.67</v>
      </c>
      <c r="G420" s="1">
        <v>45267</v>
      </c>
      <c r="H420">
        <f t="shared" si="18"/>
        <v>2023</v>
      </c>
      <c r="I420" s="3" t="str">
        <f t="shared" si="19"/>
        <v>Dec-2023</v>
      </c>
      <c r="J420">
        <f t="shared" si="20"/>
        <v>49</v>
      </c>
      <c r="K420" t="s">
        <v>47</v>
      </c>
      <c r="L420" t="s">
        <v>806</v>
      </c>
    </row>
    <row r="421" spans="1:12" x14ac:dyDescent="0.35">
      <c r="A421" t="s">
        <v>807</v>
      </c>
      <c r="B421" t="s">
        <v>109</v>
      </c>
      <c r="C421" t="s">
        <v>12</v>
      </c>
      <c r="D421">
        <v>16</v>
      </c>
      <c r="E421">
        <v>5357.86</v>
      </c>
      <c r="F421">
        <v>85725.759999999995</v>
      </c>
      <c r="G421" s="1">
        <v>45309</v>
      </c>
      <c r="H421">
        <f t="shared" si="18"/>
        <v>2024</v>
      </c>
      <c r="I421" s="3" t="str">
        <f t="shared" si="19"/>
        <v>Jan-2024</v>
      </c>
      <c r="J421">
        <f t="shared" si="20"/>
        <v>3</v>
      </c>
      <c r="K421" t="s">
        <v>28</v>
      </c>
      <c r="L421" t="s">
        <v>808</v>
      </c>
    </row>
    <row r="422" spans="1:12" x14ac:dyDescent="0.35">
      <c r="A422" t="s">
        <v>809</v>
      </c>
      <c r="B422" t="s">
        <v>131</v>
      </c>
      <c r="C422" t="s">
        <v>23</v>
      </c>
      <c r="D422">
        <v>1</v>
      </c>
      <c r="E422">
        <v>0</v>
      </c>
      <c r="F422">
        <v>0</v>
      </c>
      <c r="G422" s="1">
        <v>45334</v>
      </c>
      <c r="H422">
        <f t="shared" si="18"/>
        <v>2024</v>
      </c>
      <c r="I422" s="3" t="str">
        <f t="shared" si="19"/>
        <v>Feb-2024</v>
      </c>
      <c r="J422">
        <f t="shared" si="20"/>
        <v>7</v>
      </c>
      <c r="K422" t="s">
        <v>47</v>
      </c>
      <c r="L422" t="s">
        <v>1129</v>
      </c>
    </row>
    <row r="423" spans="1:12" x14ac:dyDescent="0.35">
      <c r="A423" t="s">
        <v>810</v>
      </c>
      <c r="B423" t="s">
        <v>20</v>
      </c>
      <c r="C423" t="s">
        <v>90</v>
      </c>
      <c r="D423">
        <v>1</v>
      </c>
      <c r="E423">
        <v>166216.81</v>
      </c>
      <c r="F423">
        <v>166216.81</v>
      </c>
      <c r="G423" s="1">
        <v>45551</v>
      </c>
      <c r="H423">
        <f t="shared" si="18"/>
        <v>2024</v>
      </c>
      <c r="I423" s="3" t="str">
        <f t="shared" si="19"/>
        <v>Sep-2024</v>
      </c>
      <c r="J423">
        <f t="shared" si="20"/>
        <v>38</v>
      </c>
      <c r="K423" t="s">
        <v>28</v>
      </c>
      <c r="L423" t="s">
        <v>811</v>
      </c>
    </row>
    <row r="424" spans="1:12" x14ac:dyDescent="0.35">
      <c r="A424" t="s">
        <v>812</v>
      </c>
      <c r="B424" t="s">
        <v>20</v>
      </c>
      <c r="C424" t="s">
        <v>90</v>
      </c>
      <c r="D424">
        <v>57</v>
      </c>
      <c r="E424">
        <v>175417.55</v>
      </c>
      <c r="F424">
        <v>9998800.3499999996</v>
      </c>
      <c r="G424" s="1">
        <v>45349</v>
      </c>
      <c r="H424">
        <f t="shared" si="18"/>
        <v>2024</v>
      </c>
      <c r="I424" s="3" t="str">
        <f t="shared" si="19"/>
        <v>Feb-2024</v>
      </c>
      <c r="J424">
        <f t="shared" si="20"/>
        <v>9</v>
      </c>
      <c r="K424" t="s">
        <v>47</v>
      </c>
      <c r="L424" t="s">
        <v>813</v>
      </c>
    </row>
    <row r="425" spans="1:12" x14ac:dyDescent="0.35">
      <c r="A425" t="s">
        <v>814</v>
      </c>
      <c r="B425" t="s">
        <v>11</v>
      </c>
      <c r="C425" t="s">
        <v>55</v>
      </c>
      <c r="D425">
        <v>1</v>
      </c>
      <c r="E425">
        <v>216143.58</v>
      </c>
      <c r="F425">
        <v>216143.58</v>
      </c>
      <c r="G425" s="1">
        <v>45292</v>
      </c>
      <c r="H425">
        <f t="shared" si="18"/>
        <v>2024</v>
      </c>
      <c r="I425" s="3" t="str">
        <f t="shared" si="19"/>
        <v>Jan-2024</v>
      </c>
      <c r="J425">
        <f t="shared" si="20"/>
        <v>1</v>
      </c>
      <c r="K425" t="s">
        <v>28</v>
      </c>
      <c r="L425" t="s">
        <v>815</v>
      </c>
    </row>
    <row r="426" spans="1:12" x14ac:dyDescent="0.35">
      <c r="A426" t="s">
        <v>816</v>
      </c>
      <c r="B426" t="s">
        <v>53</v>
      </c>
      <c r="C426" t="s">
        <v>90</v>
      </c>
      <c r="D426">
        <v>1</v>
      </c>
      <c r="E426">
        <v>88910.09</v>
      </c>
      <c r="F426">
        <v>88910.09</v>
      </c>
      <c r="G426" s="1">
        <v>45349</v>
      </c>
      <c r="H426">
        <f t="shared" si="18"/>
        <v>2024</v>
      </c>
      <c r="I426" s="3" t="str">
        <f t="shared" si="19"/>
        <v>Feb-2024</v>
      </c>
      <c r="J426">
        <f t="shared" si="20"/>
        <v>9</v>
      </c>
      <c r="K426" t="s">
        <v>13</v>
      </c>
      <c r="L426" t="s">
        <v>817</v>
      </c>
    </row>
    <row r="427" spans="1:12" x14ac:dyDescent="0.35">
      <c r="A427" t="s">
        <v>818</v>
      </c>
      <c r="B427" t="s">
        <v>105</v>
      </c>
      <c r="C427" t="s">
        <v>23</v>
      </c>
      <c r="D427">
        <v>91</v>
      </c>
      <c r="E427">
        <v>59259.44</v>
      </c>
      <c r="F427">
        <v>5392609.04</v>
      </c>
      <c r="G427" s="1">
        <v>45716</v>
      </c>
      <c r="H427">
        <f t="shared" si="18"/>
        <v>2025</v>
      </c>
      <c r="I427" s="3" t="str">
        <f t="shared" si="19"/>
        <v>Feb-2025</v>
      </c>
      <c r="J427">
        <f t="shared" si="20"/>
        <v>9</v>
      </c>
      <c r="K427" t="s">
        <v>13</v>
      </c>
      <c r="L427" t="s">
        <v>819</v>
      </c>
    </row>
    <row r="428" spans="1:12" x14ac:dyDescent="0.35">
      <c r="A428" t="s">
        <v>820</v>
      </c>
      <c r="B428" t="s">
        <v>89</v>
      </c>
      <c r="C428" t="s">
        <v>55</v>
      </c>
      <c r="D428">
        <v>1</v>
      </c>
      <c r="E428">
        <v>69390.58</v>
      </c>
      <c r="F428">
        <v>69390.58</v>
      </c>
      <c r="G428" s="1">
        <v>45342</v>
      </c>
      <c r="H428">
        <f t="shared" si="18"/>
        <v>2024</v>
      </c>
      <c r="I428" s="3" t="str">
        <f t="shared" si="19"/>
        <v>Feb-2024</v>
      </c>
      <c r="J428">
        <f t="shared" si="20"/>
        <v>8</v>
      </c>
      <c r="K428" t="s">
        <v>13</v>
      </c>
      <c r="L428" t="s">
        <v>821</v>
      </c>
    </row>
    <row r="429" spans="1:12" x14ac:dyDescent="0.35">
      <c r="A429" t="s">
        <v>822</v>
      </c>
      <c r="B429" t="s">
        <v>16</v>
      </c>
      <c r="C429" t="s">
        <v>55</v>
      </c>
      <c r="D429">
        <v>1</v>
      </c>
      <c r="E429">
        <v>171151.96</v>
      </c>
      <c r="F429">
        <v>171151.96</v>
      </c>
      <c r="G429" s="1">
        <v>45665</v>
      </c>
      <c r="H429">
        <f t="shared" si="18"/>
        <v>2025</v>
      </c>
      <c r="I429" s="3" t="str">
        <f t="shared" si="19"/>
        <v>Jan-2025</v>
      </c>
      <c r="J429">
        <f t="shared" si="20"/>
        <v>2</v>
      </c>
      <c r="K429" t="s">
        <v>13</v>
      </c>
      <c r="L429" t="s">
        <v>823</v>
      </c>
    </row>
    <row r="430" spans="1:12" x14ac:dyDescent="0.35">
      <c r="A430" t="s">
        <v>824</v>
      </c>
      <c r="B430" t="s">
        <v>37</v>
      </c>
      <c r="C430" t="s">
        <v>70</v>
      </c>
      <c r="D430">
        <v>1</v>
      </c>
      <c r="E430">
        <v>74096.14</v>
      </c>
      <c r="F430">
        <v>74096.14</v>
      </c>
      <c r="G430" s="1">
        <v>45278</v>
      </c>
      <c r="H430">
        <f t="shared" si="18"/>
        <v>2023</v>
      </c>
      <c r="I430" s="3" t="str">
        <f t="shared" si="19"/>
        <v>Dec-2023</v>
      </c>
      <c r="J430">
        <f t="shared" si="20"/>
        <v>51</v>
      </c>
      <c r="K430" t="s">
        <v>47</v>
      </c>
      <c r="L430" t="s">
        <v>825</v>
      </c>
    </row>
    <row r="431" spans="1:12" x14ac:dyDescent="0.35">
      <c r="A431" t="s">
        <v>1047</v>
      </c>
      <c r="B431" t="s">
        <v>16</v>
      </c>
      <c r="C431" t="s">
        <v>12</v>
      </c>
      <c r="D431">
        <v>1</v>
      </c>
      <c r="E431">
        <v>165417.44</v>
      </c>
      <c r="F431">
        <v>165417.44</v>
      </c>
      <c r="G431" s="1">
        <v>45654</v>
      </c>
      <c r="H431">
        <f t="shared" si="18"/>
        <v>2024</v>
      </c>
      <c r="I431" s="3" t="str">
        <f t="shared" si="19"/>
        <v>Dec-2024</v>
      </c>
      <c r="J431">
        <f t="shared" si="20"/>
        <v>52</v>
      </c>
      <c r="K431" t="s">
        <v>47</v>
      </c>
      <c r="L431" t="s">
        <v>826</v>
      </c>
    </row>
    <row r="432" spans="1:12" x14ac:dyDescent="0.35">
      <c r="A432" t="s">
        <v>827</v>
      </c>
      <c r="B432" t="s">
        <v>109</v>
      </c>
      <c r="C432" t="s">
        <v>27</v>
      </c>
      <c r="D432">
        <v>82</v>
      </c>
      <c r="E432">
        <v>0</v>
      </c>
      <c r="F432">
        <v>0</v>
      </c>
      <c r="G432" s="1">
        <v>45665</v>
      </c>
      <c r="H432">
        <f t="shared" si="18"/>
        <v>2025</v>
      </c>
      <c r="I432" s="3" t="str">
        <f t="shared" si="19"/>
        <v>Jan-2025</v>
      </c>
      <c r="J432">
        <f t="shared" si="20"/>
        <v>2</v>
      </c>
      <c r="K432" t="s">
        <v>47</v>
      </c>
      <c r="L432" t="s">
        <v>828</v>
      </c>
    </row>
    <row r="433" spans="1:12" x14ac:dyDescent="0.35">
      <c r="A433" t="s">
        <v>829</v>
      </c>
      <c r="B433" t="s">
        <v>58</v>
      </c>
      <c r="C433" t="s">
        <v>70</v>
      </c>
      <c r="D433">
        <v>1</v>
      </c>
      <c r="E433">
        <v>283067.63</v>
      </c>
      <c r="F433">
        <v>283067.63</v>
      </c>
      <c r="G433" s="1">
        <v>45497</v>
      </c>
      <c r="H433">
        <f t="shared" si="18"/>
        <v>2024</v>
      </c>
      <c r="I433" s="3" t="str">
        <f t="shared" si="19"/>
        <v>Jul-2024</v>
      </c>
      <c r="J433">
        <f t="shared" si="20"/>
        <v>30</v>
      </c>
      <c r="K433" t="s">
        <v>47</v>
      </c>
      <c r="L433" t="s">
        <v>830</v>
      </c>
    </row>
    <row r="434" spans="1:12" x14ac:dyDescent="0.35">
      <c r="A434" t="s">
        <v>831</v>
      </c>
      <c r="B434" t="s">
        <v>105</v>
      </c>
      <c r="C434" t="s">
        <v>12</v>
      </c>
      <c r="D434">
        <v>29</v>
      </c>
      <c r="E434">
        <v>101600.5</v>
      </c>
      <c r="F434">
        <v>2946414.5</v>
      </c>
      <c r="G434" s="1">
        <v>45364</v>
      </c>
      <c r="H434">
        <f t="shared" si="18"/>
        <v>2024</v>
      </c>
      <c r="I434" s="3" t="str">
        <f t="shared" si="19"/>
        <v>Mar-2024</v>
      </c>
      <c r="J434">
        <f t="shared" si="20"/>
        <v>11</v>
      </c>
      <c r="K434" t="s">
        <v>28</v>
      </c>
      <c r="L434" t="s">
        <v>832</v>
      </c>
    </row>
    <row r="435" spans="1:12" x14ac:dyDescent="0.35">
      <c r="A435" t="s">
        <v>833</v>
      </c>
      <c r="B435" t="s">
        <v>34</v>
      </c>
      <c r="C435" t="s">
        <v>12</v>
      </c>
      <c r="D435">
        <v>26</v>
      </c>
      <c r="E435">
        <v>229126.51</v>
      </c>
      <c r="F435">
        <v>5957289.2599999998</v>
      </c>
      <c r="G435" s="1">
        <v>45490</v>
      </c>
      <c r="H435">
        <f t="shared" si="18"/>
        <v>2024</v>
      </c>
      <c r="I435" s="3" t="str">
        <f t="shared" si="19"/>
        <v>Jul-2024</v>
      </c>
      <c r="J435">
        <f t="shared" si="20"/>
        <v>29</v>
      </c>
      <c r="K435" t="s">
        <v>13</v>
      </c>
      <c r="L435" t="s">
        <v>834</v>
      </c>
    </row>
    <row r="436" spans="1:12" x14ac:dyDescent="0.35">
      <c r="A436" t="s">
        <v>835</v>
      </c>
      <c r="B436" t="s">
        <v>89</v>
      </c>
      <c r="C436" t="s">
        <v>12</v>
      </c>
      <c r="D436">
        <v>1</v>
      </c>
      <c r="E436">
        <v>146842.01999999999</v>
      </c>
      <c r="F436">
        <v>146842.01999999999</v>
      </c>
      <c r="G436" s="1">
        <v>45388</v>
      </c>
      <c r="H436">
        <f t="shared" si="18"/>
        <v>2024</v>
      </c>
      <c r="I436" s="3" t="str">
        <f t="shared" si="19"/>
        <v>Apr-2024</v>
      </c>
      <c r="J436">
        <f t="shared" si="20"/>
        <v>14</v>
      </c>
      <c r="K436" t="s">
        <v>9</v>
      </c>
      <c r="L436" t="s">
        <v>1130</v>
      </c>
    </row>
    <row r="437" spans="1:12" x14ac:dyDescent="0.35">
      <c r="A437" t="s">
        <v>836</v>
      </c>
      <c r="B437" t="s">
        <v>11</v>
      </c>
      <c r="C437" t="s">
        <v>46</v>
      </c>
      <c r="D437">
        <v>1</v>
      </c>
      <c r="E437">
        <v>217205.6</v>
      </c>
      <c r="F437">
        <v>217205.6</v>
      </c>
      <c r="G437" s="1">
        <v>45553</v>
      </c>
      <c r="H437">
        <f t="shared" si="18"/>
        <v>2024</v>
      </c>
      <c r="I437" s="3" t="str">
        <f t="shared" si="19"/>
        <v>Sep-2024</v>
      </c>
      <c r="J437">
        <f t="shared" si="20"/>
        <v>38</v>
      </c>
      <c r="K437" t="s">
        <v>9</v>
      </c>
      <c r="L437" t="s">
        <v>837</v>
      </c>
    </row>
    <row r="438" spans="1:12" x14ac:dyDescent="0.35">
      <c r="A438" t="s">
        <v>838</v>
      </c>
      <c r="B438" t="s">
        <v>31</v>
      </c>
      <c r="C438" t="s">
        <v>70</v>
      </c>
      <c r="D438">
        <v>1</v>
      </c>
      <c r="E438">
        <v>222008.43</v>
      </c>
      <c r="F438">
        <v>222008.43</v>
      </c>
      <c r="G438" s="1">
        <v>45843</v>
      </c>
      <c r="H438">
        <f t="shared" si="18"/>
        <v>2025</v>
      </c>
      <c r="I438" s="3" t="str">
        <f t="shared" si="19"/>
        <v>Jul-2025</v>
      </c>
      <c r="J438">
        <f t="shared" si="20"/>
        <v>27</v>
      </c>
      <c r="K438" t="s">
        <v>9</v>
      </c>
      <c r="L438" t="s">
        <v>839</v>
      </c>
    </row>
    <row r="439" spans="1:12" x14ac:dyDescent="0.35">
      <c r="A439" t="s">
        <v>840</v>
      </c>
      <c r="B439" t="s">
        <v>16</v>
      </c>
      <c r="C439" t="s">
        <v>27</v>
      </c>
      <c r="D439">
        <v>1</v>
      </c>
      <c r="E439">
        <v>138518.29</v>
      </c>
      <c r="F439">
        <v>138518.29</v>
      </c>
      <c r="G439" s="1">
        <v>45843</v>
      </c>
      <c r="H439">
        <f t="shared" si="18"/>
        <v>2025</v>
      </c>
      <c r="I439" s="3" t="str">
        <f t="shared" si="19"/>
        <v>Jul-2025</v>
      </c>
      <c r="J439">
        <f t="shared" si="20"/>
        <v>27</v>
      </c>
      <c r="K439" t="s">
        <v>28</v>
      </c>
      <c r="L439" t="s">
        <v>841</v>
      </c>
    </row>
    <row r="440" spans="1:12" x14ac:dyDescent="0.35">
      <c r="A440" t="s">
        <v>842</v>
      </c>
      <c r="B440" t="s">
        <v>85</v>
      </c>
      <c r="C440" t="s">
        <v>17</v>
      </c>
      <c r="D440">
        <v>71</v>
      </c>
      <c r="E440">
        <v>219965.28</v>
      </c>
      <c r="F440">
        <v>15617534.880000001</v>
      </c>
      <c r="G440" s="1">
        <v>45735</v>
      </c>
      <c r="H440">
        <f t="shared" si="18"/>
        <v>2025</v>
      </c>
      <c r="I440" s="3" t="str">
        <f t="shared" si="19"/>
        <v>Mar-2025</v>
      </c>
      <c r="J440">
        <f t="shared" si="20"/>
        <v>12</v>
      </c>
      <c r="K440" t="s">
        <v>9</v>
      </c>
      <c r="L440" t="s">
        <v>843</v>
      </c>
    </row>
    <row r="441" spans="1:12" x14ac:dyDescent="0.35">
      <c r="A441" t="s">
        <v>844</v>
      </c>
      <c r="B441" t="s">
        <v>79</v>
      </c>
      <c r="C441" t="s">
        <v>12</v>
      </c>
      <c r="D441">
        <v>79</v>
      </c>
      <c r="E441">
        <v>105976.76</v>
      </c>
      <c r="F441">
        <v>8372164.04</v>
      </c>
      <c r="G441" s="1">
        <v>45678</v>
      </c>
      <c r="H441">
        <f t="shared" si="18"/>
        <v>2025</v>
      </c>
      <c r="I441" s="3" t="str">
        <f t="shared" si="19"/>
        <v>Jan-2025</v>
      </c>
      <c r="J441">
        <f t="shared" si="20"/>
        <v>4</v>
      </c>
      <c r="K441" t="s">
        <v>9</v>
      </c>
      <c r="L441" t="s">
        <v>845</v>
      </c>
    </row>
    <row r="442" spans="1:12" x14ac:dyDescent="0.35">
      <c r="A442" t="s">
        <v>846</v>
      </c>
      <c r="B442" t="s">
        <v>16</v>
      </c>
      <c r="C442" t="s">
        <v>27</v>
      </c>
      <c r="D442">
        <v>1</v>
      </c>
      <c r="E442">
        <v>0</v>
      </c>
      <c r="F442">
        <v>0</v>
      </c>
      <c r="G442" s="1">
        <v>45330</v>
      </c>
      <c r="H442">
        <f t="shared" si="18"/>
        <v>2024</v>
      </c>
      <c r="I442" s="3" t="str">
        <f t="shared" si="19"/>
        <v>Feb-2024</v>
      </c>
      <c r="J442">
        <f t="shared" si="20"/>
        <v>6</v>
      </c>
      <c r="K442" t="s">
        <v>47</v>
      </c>
      <c r="L442" t="s">
        <v>847</v>
      </c>
    </row>
    <row r="443" spans="1:12" x14ac:dyDescent="0.35">
      <c r="A443" t="s">
        <v>848</v>
      </c>
      <c r="B443" t="s">
        <v>45</v>
      </c>
      <c r="C443" t="s">
        <v>17</v>
      </c>
      <c r="D443">
        <v>1</v>
      </c>
      <c r="E443">
        <v>42417.58</v>
      </c>
      <c r="F443">
        <v>42417.58</v>
      </c>
      <c r="G443" s="1">
        <v>45341</v>
      </c>
      <c r="H443">
        <f t="shared" si="18"/>
        <v>2024</v>
      </c>
      <c r="I443" s="3" t="str">
        <f t="shared" si="19"/>
        <v>Feb-2024</v>
      </c>
      <c r="J443">
        <f t="shared" si="20"/>
        <v>8</v>
      </c>
      <c r="K443" t="s">
        <v>28</v>
      </c>
      <c r="L443" t="s">
        <v>849</v>
      </c>
    </row>
    <row r="444" spans="1:12" x14ac:dyDescent="0.35">
      <c r="A444" t="s">
        <v>1047</v>
      </c>
      <c r="B444" t="s">
        <v>31</v>
      </c>
      <c r="C444" t="s">
        <v>23</v>
      </c>
      <c r="D444">
        <v>1</v>
      </c>
      <c r="E444">
        <v>164190.63</v>
      </c>
      <c r="F444">
        <v>164190.63</v>
      </c>
      <c r="G444" s="1">
        <v>45212</v>
      </c>
      <c r="H444">
        <f t="shared" si="18"/>
        <v>2023</v>
      </c>
      <c r="I444" s="3" t="str">
        <f t="shared" si="19"/>
        <v>Oct-2023</v>
      </c>
      <c r="J444">
        <f t="shared" si="20"/>
        <v>41</v>
      </c>
      <c r="K444" t="s">
        <v>28</v>
      </c>
      <c r="L444" t="s">
        <v>850</v>
      </c>
    </row>
    <row r="445" spans="1:12" x14ac:dyDescent="0.35">
      <c r="A445" t="s">
        <v>851</v>
      </c>
      <c r="B445" t="s">
        <v>61</v>
      </c>
      <c r="C445" t="s">
        <v>17</v>
      </c>
      <c r="D445">
        <v>1</v>
      </c>
      <c r="E445">
        <v>55622.31</v>
      </c>
      <c r="F445">
        <v>55622.31</v>
      </c>
      <c r="G445" s="1">
        <v>45563</v>
      </c>
      <c r="H445">
        <f t="shared" si="18"/>
        <v>2024</v>
      </c>
      <c r="I445" s="3" t="str">
        <f t="shared" si="19"/>
        <v>Sep-2024</v>
      </c>
      <c r="J445">
        <f t="shared" si="20"/>
        <v>39</v>
      </c>
      <c r="K445" t="s">
        <v>9</v>
      </c>
      <c r="L445" t="s">
        <v>852</v>
      </c>
    </row>
    <row r="446" spans="1:12" x14ac:dyDescent="0.35">
      <c r="A446" t="s">
        <v>853</v>
      </c>
      <c r="B446" t="s">
        <v>42</v>
      </c>
      <c r="C446" t="s">
        <v>23</v>
      </c>
      <c r="D446">
        <v>1</v>
      </c>
      <c r="E446">
        <v>266864.68</v>
      </c>
      <c r="F446">
        <v>266864.68</v>
      </c>
      <c r="G446" s="1">
        <v>45643</v>
      </c>
      <c r="H446">
        <f t="shared" si="18"/>
        <v>2024</v>
      </c>
      <c r="I446" s="3" t="str">
        <f t="shared" si="19"/>
        <v>Dec-2024</v>
      </c>
      <c r="J446">
        <f t="shared" si="20"/>
        <v>51</v>
      </c>
      <c r="K446" t="s">
        <v>28</v>
      </c>
      <c r="L446" t="s">
        <v>854</v>
      </c>
    </row>
    <row r="447" spans="1:12" x14ac:dyDescent="0.35">
      <c r="A447" t="s">
        <v>855</v>
      </c>
      <c r="B447" t="s">
        <v>109</v>
      </c>
      <c r="C447" t="s">
        <v>90</v>
      </c>
      <c r="D447">
        <v>74</v>
      </c>
      <c r="E447">
        <v>297101.90000000002</v>
      </c>
      <c r="F447">
        <v>21985540.600000001</v>
      </c>
      <c r="G447" s="1">
        <v>45539</v>
      </c>
      <c r="H447">
        <f t="shared" si="18"/>
        <v>2024</v>
      </c>
      <c r="I447" s="3" t="str">
        <f t="shared" si="19"/>
        <v>Sep-2024</v>
      </c>
      <c r="J447">
        <f t="shared" si="20"/>
        <v>36</v>
      </c>
      <c r="K447" t="s">
        <v>47</v>
      </c>
      <c r="L447" t="s">
        <v>856</v>
      </c>
    </row>
    <row r="448" spans="1:12" x14ac:dyDescent="0.35">
      <c r="A448" t="s">
        <v>857</v>
      </c>
      <c r="B448" t="s">
        <v>89</v>
      </c>
      <c r="C448" t="s">
        <v>17</v>
      </c>
      <c r="D448">
        <v>1</v>
      </c>
      <c r="E448">
        <v>287192.45</v>
      </c>
      <c r="F448">
        <v>287192.45</v>
      </c>
      <c r="G448" s="1">
        <v>45412</v>
      </c>
      <c r="H448">
        <f t="shared" si="18"/>
        <v>2024</v>
      </c>
      <c r="I448" s="3" t="str">
        <f t="shared" si="19"/>
        <v>Apr-2024</v>
      </c>
      <c r="J448">
        <f t="shared" si="20"/>
        <v>18</v>
      </c>
      <c r="K448" t="s">
        <v>47</v>
      </c>
      <c r="L448" t="s">
        <v>858</v>
      </c>
    </row>
    <row r="449" spans="1:12" x14ac:dyDescent="0.35">
      <c r="A449" t="s">
        <v>859</v>
      </c>
      <c r="B449" t="s">
        <v>42</v>
      </c>
      <c r="C449" t="s">
        <v>23</v>
      </c>
      <c r="D449">
        <v>83</v>
      </c>
      <c r="E449">
        <v>157421.35</v>
      </c>
      <c r="F449">
        <v>13065972.050000001</v>
      </c>
      <c r="G449" s="1">
        <v>45813</v>
      </c>
      <c r="H449">
        <f t="shared" si="18"/>
        <v>2025</v>
      </c>
      <c r="I449" s="3" t="str">
        <f t="shared" si="19"/>
        <v>Jun-2025</v>
      </c>
      <c r="J449">
        <f t="shared" si="20"/>
        <v>23</v>
      </c>
      <c r="K449" t="s">
        <v>13</v>
      </c>
      <c r="L449" t="s">
        <v>860</v>
      </c>
    </row>
    <row r="450" spans="1:12" x14ac:dyDescent="0.35">
      <c r="A450" t="s">
        <v>861</v>
      </c>
      <c r="B450" t="s">
        <v>61</v>
      </c>
      <c r="C450" t="s">
        <v>12</v>
      </c>
      <c r="D450">
        <v>1</v>
      </c>
      <c r="E450">
        <v>251801.01</v>
      </c>
      <c r="F450">
        <v>251801.01</v>
      </c>
      <c r="G450" s="1">
        <v>45424</v>
      </c>
      <c r="H450">
        <f t="shared" si="18"/>
        <v>2024</v>
      </c>
      <c r="I450" s="3" t="str">
        <f t="shared" si="19"/>
        <v>May-2024</v>
      </c>
      <c r="J450">
        <f t="shared" si="20"/>
        <v>20</v>
      </c>
      <c r="K450" t="s">
        <v>47</v>
      </c>
      <c r="L450" t="s">
        <v>1131</v>
      </c>
    </row>
    <row r="451" spans="1:12" x14ac:dyDescent="0.35">
      <c r="A451" t="s">
        <v>862</v>
      </c>
      <c r="B451" t="s">
        <v>58</v>
      </c>
      <c r="C451" t="s">
        <v>46</v>
      </c>
      <c r="D451">
        <v>1</v>
      </c>
      <c r="E451">
        <v>22761.96</v>
      </c>
      <c r="F451">
        <v>22761.96</v>
      </c>
      <c r="G451" s="1">
        <v>45753</v>
      </c>
      <c r="H451">
        <f t="shared" ref="H451:H514" si="21">YEAR(G451)</f>
        <v>2025</v>
      </c>
      <c r="I451" s="3" t="str">
        <f t="shared" ref="I451:I514" si="22">TEXT(G451,"mmm-yyyy")</f>
        <v>Apr-2025</v>
      </c>
      <c r="J451">
        <f t="shared" ref="J451:J514" si="23">WEEKNUM(G451)</f>
        <v>15</v>
      </c>
      <c r="K451" t="s">
        <v>13</v>
      </c>
      <c r="L451" t="s">
        <v>863</v>
      </c>
    </row>
    <row r="452" spans="1:12" x14ac:dyDescent="0.35">
      <c r="A452" t="s">
        <v>864</v>
      </c>
      <c r="B452" t="s">
        <v>31</v>
      </c>
      <c r="C452" t="s">
        <v>17</v>
      </c>
      <c r="D452">
        <v>45</v>
      </c>
      <c r="E452">
        <v>0</v>
      </c>
      <c r="F452">
        <v>0</v>
      </c>
      <c r="G452" s="1">
        <v>45386</v>
      </c>
      <c r="H452">
        <f t="shared" si="21"/>
        <v>2024</v>
      </c>
      <c r="I452" s="3" t="str">
        <f t="shared" si="22"/>
        <v>Apr-2024</v>
      </c>
      <c r="J452">
        <f t="shared" si="23"/>
        <v>14</v>
      </c>
      <c r="K452" t="s">
        <v>9</v>
      </c>
      <c r="L452" t="s">
        <v>865</v>
      </c>
    </row>
    <row r="453" spans="1:12" x14ac:dyDescent="0.35">
      <c r="A453" t="s">
        <v>866</v>
      </c>
      <c r="B453" t="s">
        <v>105</v>
      </c>
      <c r="C453" t="s">
        <v>55</v>
      </c>
      <c r="D453">
        <v>1</v>
      </c>
      <c r="E453">
        <v>245489.78</v>
      </c>
      <c r="F453">
        <v>245489.78</v>
      </c>
      <c r="G453" s="1">
        <v>45718</v>
      </c>
      <c r="H453">
        <f t="shared" si="21"/>
        <v>2025</v>
      </c>
      <c r="I453" s="3" t="str">
        <f t="shared" si="22"/>
        <v>Mar-2025</v>
      </c>
      <c r="J453">
        <f t="shared" si="23"/>
        <v>10</v>
      </c>
      <c r="K453" t="s">
        <v>13</v>
      </c>
      <c r="L453" t="s">
        <v>867</v>
      </c>
    </row>
    <row r="454" spans="1:12" x14ac:dyDescent="0.35">
      <c r="A454" t="s">
        <v>868</v>
      </c>
      <c r="B454" t="s">
        <v>79</v>
      </c>
      <c r="C454" t="s">
        <v>23</v>
      </c>
      <c r="D454">
        <v>1</v>
      </c>
      <c r="E454">
        <v>15030.06</v>
      </c>
      <c r="F454">
        <v>15030.06</v>
      </c>
      <c r="G454" s="1">
        <v>45742</v>
      </c>
      <c r="H454">
        <f t="shared" si="21"/>
        <v>2025</v>
      </c>
      <c r="I454" s="3" t="str">
        <f t="shared" si="22"/>
        <v>Mar-2025</v>
      </c>
      <c r="J454">
        <f t="shared" si="23"/>
        <v>13</v>
      </c>
      <c r="K454" t="s">
        <v>13</v>
      </c>
      <c r="L454" t="s">
        <v>869</v>
      </c>
    </row>
    <row r="455" spans="1:12" x14ac:dyDescent="0.35">
      <c r="A455" t="s">
        <v>870</v>
      </c>
      <c r="B455" t="s">
        <v>53</v>
      </c>
      <c r="C455" t="s">
        <v>70</v>
      </c>
      <c r="D455">
        <v>24</v>
      </c>
      <c r="E455">
        <v>2411.96</v>
      </c>
      <c r="F455">
        <v>57887.040000000001</v>
      </c>
      <c r="G455" s="1">
        <v>45231</v>
      </c>
      <c r="H455">
        <f t="shared" si="21"/>
        <v>2023</v>
      </c>
      <c r="I455" s="3" t="str">
        <f t="shared" si="22"/>
        <v>Nov-2023</v>
      </c>
      <c r="J455">
        <f t="shared" si="23"/>
        <v>44</v>
      </c>
      <c r="K455" t="s">
        <v>9</v>
      </c>
      <c r="L455" t="s">
        <v>871</v>
      </c>
    </row>
    <row r="456" spans="1:12" x14ac:dyDescent="0.35">
      <c r="A456" t="s">
        <v>872</v>
      </c>
      <c r="B456" t="s">
        <v>16</v>
      </c>
      <c r="C456" t="s">
        <v>23</v>
      </c>
      <c r="D456">
        <v>1</v>
      </c>
      <c r="E456">
        <v>41678.71</v>
      </c>
      <c r="F456">
        <v>41678.71</v>
      </c>
      <c r="G456" s="1">
        <v>45343</v>
      </c>
      <c r="H456">
        <f t="shared" si="21"/>
        <v>2024</v>
      </c>
      <c r="I456" s="3" t="str">
        <f t="shared" si="22"/>
        <v>Feb-2024</v>
      </c>
      <c r="J456">
        <f t="shared" si="23"/>
        <v>8</v>
      </c>
      <c r="K456" t="s">
        <v>13</v>
      </c>
      <c r="L456" t="s">
        <v>873</v>
      </c>
    </row>
    <row r="457" spans="1:12" x14ac:dyDescent="0.35">
      <c r="A457" t="s">
        <v>1047</v>
      </c>
      <c r="B457" t="s">
        <v>45</v>
      </c>
      <c r="C457" t="s">
        <v>17</v>
      </c>
      <c r="D457">
        <v>8</v>
      </c>
      <c r="E457">
        <v>189395.14</v>
      </c>
      <c r="F457">
        <v>1515161.12</v>
      </c>
      <c r="G457" s="1">
        <v>45150</v>
      </c>
      <c r="H457">
        <f t="shared" si="21"/>
        <v>2023</v>
      </c>
      <c r="I457" s="3" t="str">
        <f t="shared" si="22"/>
        <v>Aug-2023</v>
      </c>
      <c r="J457">
        <f t="shared" si="23"/>
        <v>32</v>
      </c>
      <c r="K457" t="s">
        <v>47</v>
      </c>
      <c r="L457" t="s">
        <v>874</v>
      </c>
    </row>
    <row r="458" spans="1:12" x14ac:dyDescent="0.35">
      <c r="A458" t="s">
        <v>875</v>
      </c>
      <c r="B458" t="s">
        <v>42</v>
      </c>
      <c r="C458" t="s">
        <v>23</v>
      </c>
      <c r="D458">
        <v>67</v>
      </c>
      <c r="E458">
        <v>20856.400000000001</v>
      </c>
      <c r="F458">
        <v>1397378.8</v>
      </c>
      <c r="G458" s="1">
        <v>45341</v>
      </c>
      <c r="H458">
        <f t="shared" si="21"/>
        <v>2024</v>
      </c>
      <c r="I458" s="3" t="str">
        <f t="shared" si="22"/>
        <v>Feb-2024</v>
      </c>
      <c r="J458">
        <f t="shared" si="23"/>
        <v>8</v>
      </c>
      <c r="K458" t="s">
        <v>9</v>
      </c>
      <c r="L458" t="s">
        <v>876</v>
      </c>
    </row>
    <row r="459" spans="1:12" x14ac:dyDescent="0.35">
      <c r="A459" t="s">
        <v>877</v>
      </c>
      <c r="B459" t="s">
        <v>11</v>
      </c>
      <c r="C459" t="s">
        <v>27</v>
      </c>
      <c r="D459">
        <v>39</v>
      </c>
      <c r="E459">
        <v>45733.38</v>
      </c>
      <c r="F459">
        <v>1783601.8199999998</v>
      </c>
      <c r="G459" s="1">
        <v>45672</v>
      </c>
      <c r="H459">
        <f t="shared" si="21"/>
        <v>2025</v>
      </c>
      <c r="I459" s="3" t="str">
        <f t="shared" si="22"/>
        <v>Jan-2025</v>
      </c>
      <c r="J459">
        <f t="shared" si="23"/>
        <v>3</v>
      </c>
      <c r="K459" t="s">
        <v>28</v>
      </c>
      <c r="L459" t="s">
        <v>878</v>
      </c>
    </row>
    <row r="460" spans="1:12" x14ac:dyDescent="0.35">
      <c r="A460" t="s">
        <v>879</v>
      </c>
      <c r="B460" t="s">
        <v>58</v>
      </c>
      <c r="C460" t="s">
        <v>70</v>
      </c>
      <c r="D460">
        <v>1</v>
      </c>
      <c r="E460">
        <v>66006.539999999994</v>
      </c>
      <c r="F460">
        <v>66006.539999999994</v>
      </c>
      <c r="G460" s="1">
        <v>45179</v>
      </c>
      <c r="H460">
        <f t="shared" si="21"/>
        <v>2023</v>
      </c>
      <c r="I460" s="3" t="str">
        <f t="shared" si="22"/>
        <v>Sep-2023</v>
      </c>
      <c r="J460">
        <f t="shared" si="23"/>
        <v>37</v>
      </c>
      <c r="K460" t="s">
        <v>13</v>
      </c>
      <c r="L460" t="s">
        <v>880</v>
      </c>
    </row>
    <row r="461" spans="1:12" x14ac:dyDescent="0.35">
      <c r="A461" t="s">
        <v>881</v>
      </c>
      <c r="B461" t="s">
        <v>34</v>
      </c>
      <c r="C461" t="s">
        <v>17</v>
      </c>
      <c r="D461">
        <v>91</v>
      </c>
      <c r="E461">
        <v>137074.89000000001</v>
      </c>
      <c r="F461">
        <v>12473814.990000002</v>
      </c>
      <c r="G461" s="1">
        <v>45387</v>
      </c>
      <c r="H461">
        <f t="shared" si="21"/>
        <v>2024</v>
      </c>
      <c r="I461" s="3" t="str">
        <f t="shared" si="22"/>
        <v>Apr-2024</v>
      </c>
      <c r="J461">
        <f t="shared" si="23"/>
        <v>14</v>
      </c>
      <c r="K461" t="s">
        <v>47</v>
      </c>
      <c r="L461" t="s">
        <v>882</v>
      </c>
    </row>
    <row r="462" spans="1:12" x14ac:dyDescent="0.35">
      <c r="A462" t="s">
        <v>883</v>
      </c>
      <c r="B462" t="s">
        <v>53</v>
      </c>
      <c r="C462" t="s">
        <v>46</v>
      </c>
      <c r="D462">
        <v>1</v>
      </c>
      <c r="E462">
        <v>0</v>
      </c>
      <c r="F462">
        <v>0</v>
      </c>
      <c r="G462" s="1">
        <v>45835</v>
      </c>
      <c r="H462">
        <f t="shared" si="21"/>
        <v>2025</v>
      </c>
      <c r="I462" s="3" t="str">
        <f t="shared" si="22"/>
        <v>Jun-2025</v>
      </c>
      <c r="J462">
        <f t="shared" si="23"/>
        <v>26</v>
      </c>
      <c r="K462" t="s">
        <v>28</v>
      </c>
      <c r="L462" t="s">
        <v>884</v>
      </c>
    </row>
    <row r="463" spans="1:12" x14ac:dyDescent="0.35">
      <c r="A463" t="s">
        <v>885</v>
      </c>
      <c r="B463" t="s">
        <v>109</v>
      </c>
      <c r="C463" t="s">
        <v>27</v>
      </c>
      <c r="D463">
        <v>37</v>
      </c>
      <c r="E463">
        <v>18604.810000000001</v>
      </c>
      <c r="F463">
        <v>688377.97000000009</v>
      </c>
      <c r="G463" s="1">
        <v>45461</v>
      </c>
      <c r="H463">
        <f t="shared" si="21"/>
        <v>2024</v>
      </c>
      <c r="I463" s="3" t="str">
        <f t="shared" si="22"/>
        <v>Jun-2024</v>
      </c>
      <c r="J463">
        <f t="shared" si="23"/>
        <v>25</v>
      </c>
      <c r="K463" t="s">
        <v>9</v>
      </c>
      <c r="L463" t="s">
        <v>886</v>
      </c>
    </row>
    <row r="464" spans="1:12" x14ac:dyDescent="0.35">
      <c r="A464" t="s">
        <v>887</v>
      </c>
      <c r="B464" t="s">
        <v>42</v>
      </c>
      <c r="C464" t="s">
        <v>70</v>
      </c>
      <c r="D464">
        <v>33</v>
      </c>
      <c r="E464">
        <v>191499.71</v>
      </c>
      <c r="F464">
        <v>6319490.4299999997</v>
      </c>
      <c r="G464" s="1">
        <v>45627</v>
      </c>
      <c r="H464">
        <f t="shared" si="21"/>
        <v>2024</v>
      </c>
      <c r="I464" s="3" t="str">
        <f t="shared" si="22"/>
        <v>Dec-2024</v>
      </c>
      <c r="J464">
        <f t="shared" si="23"/>
        <v>49</v>
      </c>
      <c r="K464" t="s">
        <v>9</v>
      </c>
      <c r="L464" t="s">
        <v>1132</v>
      </c>
    </row>
    <row r="465" spans="1:12" x14ac:dyDescent="0.35">
      <c r="A465" t="s">
        <v>888</v>
      </c>
      <c r="B465" t="s">
        <v>37</v>
      </c>
      <c r="C465" t="s">
        <v>55</v>
      </c>
      <c r="D465">
        <v>1</v>
      </c>
      <c r="E465">
        <v>280204.15999999997</v>
      </c>
      <c r="F465">
        <v>280204.15999999997</v>
      </c>
      <c r="G465" s="1">
        <v>45317</v>
      </c>
      <c r="H465">
        <f t="shared" si="21"/>
        <v>2024</v>
      </c>
      <c r="I465" s="3" t="str">
        <f t="shared" si="22"/>
        <v>Jan-2024</v>
      </c>
      <c r="J465">
        <f t="shared" si="23"/>
        <v>4</v>
      </c>
      <c r="K465" t="s">
        <v>9</v>
      </c>
      <c r="L465" t="s">
        <v>889</v>
      </c>
    </row>
    <row r="466" spans="1:12" x14ac:dyDescent="0.35">
      <c r="A466" t="s">
        <v>890</v>
      </c>
      <c r="B466" t="s">
        <v>89</v>
      </c>
      <c r="C466" t="s">
        <v>23</v>
      </c>
      <c r="D466">
        <v>36</v>
      </c>
      <c r="E466">
        <v>273869.06</v>
      </c>
      <c r="F466">
        <v>9859286.1600000001</v>
      </c>
      <c r="G466" s="1">
        <v>45698</v>
      </c>
      <c r="H466">
        <f t="shared" si="21"/>
        <v>2025</v>
      </c>
      <c r="I466" s="3" t="str">
        <f t="shared" si="22"/>
        <v>Feb-2025</v>
      </c>
      <c r="J466">
        <f t="shared" si="23"/>
        <v>7</v>
      </c>
      <c r="K466" t="s">
        <v>47</v>
      </c>
      <c r="L466" t="s">
        <v>891</v>
      </c>
    </row>
    <row r="467" spans="1:12" x14ac:dyDescent="0.35">
      <c r="A467" t="s">
        <v>892</v>
      </c>
      <c r="B467" t="s">
        <v>61</v>
      </c>
      <c r="C467" t="s">
        <v>23</v>
      </c>
      <c r="D467">
        <v>1</v>
      </c>
      <c r="E467">
        <v>197955.66</v>
      </c>
      <c r="F467">
        <v>197955.66</v>
      </c>
      <c r="G467" s="1">
        <v>45490</v>
      </c>
      <c r="H467">
        <f t="shared" si="21"/>
        <v>2024</v>
      </c>
      <c r="I467" s="3" t="str">
        <f t="shared" si="22"/>
        <v>Jul-2024</v>
      </c>
      <c r="J467">
        <f t="shared" si="23"/>
        <v>29</v>
      </c>
      <c r="K467" t="s">
        <v>28</v>
      </c>
      <c r="L467" t="s">
        <v>893</v>
      </c>
    </row>
    <row r="468" spans="1:12" x14ac:dyDescent="0.35">
      <c r="A468" t="s">
        <v>894</v>
      </c>
      <c r="B468" t="s">
        <v>89</v>
      </c>
      <c r="C468" t="s">
        <v>90</v>
      </c>
      <c r="D468">
        <v>1</v>
      </c>
      <c r="E468">
        <v>5211.66</v>
      </c>
      <c r="F468">
        <v>5211.66</v>
      </c>
      <c r="G468" s="1">
        <v>45284</v>
      </c>
      <c r="H468">
        <f t="shared" si="21"/>
        <v>2023</v>
      </c>
      <c r="I468" s="3" t="str">
        <f t="shared" si="22"/>
        <v>Dec-2023</v>
      </c>
      <c r="J468">
        <f t="shared" si="23"/>
        <v>52</v>
      </c>
      <c r="K468" t="s">
        <v>9</v>
      </c>
      <c r="L468" t="s">
        <v>895</v>
      </c>
    </row>
    <row r="469" spans="1:12" x14ac:dyDescent="0.35">
      <c r="A469" t="s">
        <v>896</v>
      </c>
      <c r="B469" t="s">
        <v>31</v>
      </c>
      <c r="C469" t="s">
        <v>70</v>
      </c>
      <c r="D469">
        <v>1</v>
      </c>
      <c r="E469">
        <v>159897.64000000001</v>
      </c>
      <c r="F469">
        <v>159897.64000000001</v>
      </c>
      <c r="G469" s="1">
        <v>45274</v>
      </c>
      <c r="H469">
        <f t="shared" si="21"/>
        <v>2023</v>
      </c>
      <c r="I469" s="3" t="str">
        <f t="shared" si="22"/>
        <v>Dec-2023</v>
      </c>
      <c r="J469">
        <f t="shared" si="23"/>
        <v>50</v>
      </c>
      <c r="K469" t="s">
        <v>47</v>
      </c>
      <c r="L469" t="s">
        <v>897</v>
      </c>
    </row>
    <row r="470" spans="1:12" x14ac:dyDescent="0.35">
      <c r="A470" t="s">
        <v>1047</v>
      </c>
      <c r="B470" t="s">
        <v>131</v>
      </c>
      <c r="C470" t="s">
        <v>23</v>
      </c>
      <c r="D470">
        <v>83</v>
      </c>
      <c r="E470">
        <v>123695.88</v>
      </c>
      <c r="F470">
        <v>10266758.040000001</v>
      </c>
      <c r="G470" s="1">
        <v>45761</v>
      </c>
      <c r="H470">
        <f t="shared" si="21"/>
        <v>2025</v>
      </c>
      <c r="I470" s="3" t="str">
        <f t="shared" si="22"/>
        <v>Apr-2025</v>
      </c>
      <c r="J470">
        <f t="shared" si="23"/>
        <v>16</v>
      </c>
      <c r="K470" t="s">
        <v>47</v>
      </c>
      <c r="L470" t="s">
        <v>898</v>
      </c>
    </row>
    <row r="471" spans="1:12" x14ac:dyDescent="0.35">
      <c r="A471" t="s">
        <v>899</v>
      </c>
      <c r="B471" t="s">
        <v>58</v>
      </c>
      <c r="C471" t="s">
        <v>90</v>
      </c>
      <c r="D471">
        <v>1</v>
      </c>
      <c r="E471">
        <v>5509.48</v>
      </c>
      <c r="F471">
        <v>5509.48</v>
      </c>
      <c r="G471" s="1">
        <v>45536</v>
      </c>
      <c r="H471">
        <f t="shared" si="21"/>
        <v>2024</v>
      </c>
      <c r="I471" s="3" t="str">
        <f t="shared" si="22"/>
        <v>Sep-2024</v>
      </c>
      <c r="J471">
        <f t="shared" si="23"/>
        <v>36</v>
      </c>
      <c r="K471" t="s">
        <v>47</v>
      </c>
      <c r="L471" t="s">
        <v>900</v>
      </c>
    </row>
    <row r="472" spans="1:12" x14ac:dyDescent="0.35">
      <c r="A472" t="s">
        <v>901</v>
      </c>
      <c r="B472" t="s">
        <v>131</v>
      </c>
      <c r="C472" t="s">
        <v>90</v>
      </c>
      <c r="D472">
        <v>20</v>
      </c>
      <c r="E472">
        <v>0</v>
      </c>
      <c r="F472">
        <v>0</v>
      </c>
      <c r="G472" s="1">
        <v>45328</v>
      </c>
      <c r="H472">
        <f t="shared" si="21"/>
        <v>2024</v>
      </c>
      <c r="I472" s="3" t="str">
        <f t="shared" si="22"/>
        <v>Feb-2024</v>
      </c>
      <c r="J472">
        <f t="shared" si="23"/>
        <v>6</v>
      </c>
      <c r="K472" t="s">
        <v>47</v>
      </c>
      <c r="L472" t="s">
        <v>902</v>
      </c>
    </row>
    <row r="473" spans="1:12" x14ac:dyDescent="0.35">
      <c r="A473" t="s">
        <v>903</v>
      </c>
      <c r="B473" t="s">
        <v>42</v>
      </c>
      <c r="C473" t="s">
        <v>17</v>
      </c>
      <c r="D473">
        <v>1</v>
      </c>
      <c r="E473">
        <v>216796.72</v>
      </c>
      <c r="F473">
        <v>216796.72</v>
      </c>
      <c r="G473" s="1">
        <v>45842</v>
      </c>
      <c r="H473">
        <f t="shared" si="21"/>
        <v>2025</v>
      </c>
      <c r="I473" s="3" t="str">
        <f t="shared" si="22"/>
        <v>Jul-2025</v>
      </c>
      <c r="J473">
        <f t="shared" si="23"/>
        <v>27</v>
      </c>
      <c r="K473" t="s">
        <v>28</v>
      </c>
      <c r="L473" t="s">
        <v>904</v>
      </c>
    </row>
    <row r="474" spans="1:12" x14ac:dyDescent="0.35">
      <c r="A474" t="s">
        <v>905</v>
      </c>
      <c r="B474" t="s">
        <v>89</v>
      </c>
      <c r="C474" t="s">
        <v>23</v>
      </c>
      <c r="D474">
        <v>1</v>
      </c>
      <c r="E474">
        <v>160953.56</v>
      </c>
      <c r="F474">
        <v>160953.56</v>
      </c>
      <c r="G474" s="1">
        <v>45554</v>
      </c>
      <c r="H474">
        <f t="shared" si="21"/>
        <v>2024</v>
      </c>
      <c r="I474" s="3" t="str">
        <f t="shared" si="22"/>
        <v>Sep-2024</v>
      </c>
      <c r="J474">
        <f t="shared" si="23"/>
        <v>38</v>
      </c>
      <c r="K474" t="s">
        <v>9</v>
      </c>
      <c r="L474" t="s">
        <v>906</v>
      </c>
    </row>
    <row r="475" spans="1:12" x14ac:dyDescent="0.35">
      <c r="A475" t="s">
        <v>907</v>
      </c>
      <c r="B475" t="s">
        <v>105</v>
      </c>
      <c r="C475" t="s">
        <v>27</v>
      </c>
      <c r="D475">
        <v>1</v>
      </c>
      <c r="E475">
        <v>86363.22</v>
      </c>
      <c r="F475">
        <v>86363.22</v>
      </c>
      <c r="G475" s="1">
        <v>45658</v>
      </c>
      <c r="H475">
        <f t="shared" si="21"/>
        <v>2025</v>
      </c>
      <c r="I475" s="3" t="str">
        <f t="shared" si="22"/>
        <v>Jan-2025</v>
      </c>
      <c r="J475">
        <f t="shared" si="23"/>
        <v>1</v>
      </c>
      <c r="K475" t="s">
        <v>9</v>
      </c>
      <c r="L475" t="s">
        <v>908</v>
      </c>
    </row>
    <row r="476" spans="1:12" x14ac:dyDescent="0.35">
      <c r="A476" t="s">
        <v>909</v>
      </c>
      <c r="B476" t="s">
        <v>131</v>
      </c>
      <c r="C476" t="s">
        <v>55</v>
      </c>
      <c r="D476">
        <v>6</v>
      </c>
      <c r="E476">
        <v>150913.70000000001</v>
      </c>
      <c r="F476">
        <v>905482.20000000007</v>
      </c>
      <c r="G476" s="1">
        <v>45328</v>
      </c>
      <c r="H476">
        <f t="shared" si="21"/>
        <v>2024</v>
      </c>
      <c r="I476" s="3" t="str">
        <f t="shared" si="22"/>
        <v>Feb-2024</v>
      </c>
      <c r="J476">
        <f t="shared" si="23"/>
        <v>6</v>
      </c>
      <c r="K476" t="s">
        <v>13</v>
      </c>
      <c r="L476" t="s">
        <v>910</v>
      </c>
    </row>
    <row r="477" spans="1:12" x14ac:dyDescent="0.35">
      <c r="A477" t="s">
        <v>911</v>
      </c>
      <c r="B477" t="s">
        <v>34</v>
      </c>
      <c r="C477" t="s">
        <v>27</v>
      </c>
      <c r="D477">
        <v>11</v>
      </c>
      <c r="E477">
        <v>209508.79</v>
      </c>
      <c r="F477">
        <v>2304596.69</v>
      </c>
      <c r="G477" s="1">
        <v>45224</v>
      </c>
      <c r="H477">
        <f t="shared" si="21"/>
        <v>2023</v>
      </c>
      <c r="I477" s="3" t="str">
        <f t="shared" si="22"/>
        <v>Oct-2023</v>
      </c>
      <c r="J477">
        <f t="shared" si="23"/>
        <v>43</v>
      </c>
      <c r="K477" t="s">
        <v>9</v>
      </c>
      <c r="L477" t="s">
        <v>912</v>
      </c>
    </row>
    <row r="478" spans="1:12" x14ac:dyDescent="0.35">
      <c r="A478" t="s">
        <v>913</v>
      </c>
      <c r="B478" t="s">
        <v>26</v>
      </c>
      <c r="C478" t="s">
        <v>27</v>
      </c>
      <c r="D478">
        <v>1</v>
      </c>
      <c r="E478">
        <v>129456.68</v>
      </c>
      <c r="F478">
        <v>129456.68</v>
      </c>
      <c r="G478" s="1">
        <v>45202</v>
      </c>
      <c r="H478">
        <f t="shared" si="21"/>
        <v>2023</v>
      </c>
      <c r="I478" s="3" t="str">
        <f t="shared" si="22"/>
        <v>Oct-2023</v>
      </c>
      <c r="J478">
        <f t="shared" si="23"/>
        <v>40</v>
      </c>
      <c r="K478" t="s">
        <v>28</v>
      </c>
      <c r="L478" t="s">
        <v>1133</v>
      </c>
    </row>
    <row r="479" spans="1:12" x14ac:dyDescent="0.35">
      <c r="A479" t="s">
        <v>914</v>
      </c>
      <c r="B479" t="s">
        <v>53</v>
      </c>
      <c r="C479" t="s">
        <v>23</v>
      </c>
      <c r="D479">
        <v>1</v>
      </c>
      <c r="E479">
        <v>281943.71999999997</v>
      </c>
      <c r="F479">
        <v>281943.71999999997</v>
      </c>
      <c r="G479" s="1">
        <v>45596</v>
      </c>
      <c r="H479">
        <f t="shared" si="21"/>
        <v>2024</v>
      </c>
      <c r="I479" s="3" t="str">
        <f t="shared" si="22"/>
        <v>Oct-2024</v>
      </c>
      <c r="J479">
        <f t="shared" si="23"/>
        <v>44</v>
      </c>
      <c r="K479" t="s">
        <v>47</v>
      </c>
      <c r="L479" t="s">
        <v>915</v>
      </c>
    </row>
    <row r="480" spans="1:12" x14ac:dyDescent="0.35">
      <c r="A480" t="s">
        <v>916</v>
      </c>
      <c r="B480" t="s">
        <v>42</v>
      </c>
      <c r="C480" t="s">
        <v>12</v>
      </c>
      <c r="D480">
        <v>1</v>
      </c>
      <c r="E480">
        <v>54190.42</v>
      </c>
      <c r="F480">
        <v>54190.42</v>
      </c>
      <c r="G480" s="1">
        <v>45693</v>
      </c>
      <c r="H480">
        <f t="shared" si="21"/>
        <v>2025</v>
      </c>
      <c r="I480" s="3" t="str">
        <f t="shared" si="22"/>
        <v>Feb-2025</v>
      </c>
      <c r="J480">
        <f t="shared" si="23"/>
        <v>6</v>
      </c>
      <c r="K480" t="s">
        <v>28</v>
      </c>
      <c r="L480" s="2" t="s">
        <v>917</v>
      </c>
    </row>
    <row r="481" spans="1:12" x14ac:dyDescent="0.35">
      <c r="A481" t="s">
        <v>918</v>
      </c>
      <c r="B481" t="s">
        <v>105</v>
      </c>
      <c r="C481" t="s">
        <v>46</v>
      </c>
      <c r="D481">
        <v>1</v>
      </c>
      <c r="E481">
        <v>275455.63</v>
      </c>
      <c r="F481">
        <v>275455.63</v>
      </c>
      <c r="G481" s="1">
        <v>45573</v>
      </c>
      <c r="H481">
        <f t="shared" si="21"/>
        <v>2024</v>
      </c>
      <c r="I481" s="3" t="str">
        <f t="shared" si="22"/>
        <v>Oct-2024</v>
      </c>
      <c r="J481">
        <f t="shared" si="23"/>
        <v>41</v>
      </c>
      <c r="K481" t="s">
        <v>9</v>
      </c>
      <c r="L481" t="s">
        <v>919</v>
      </c>
    </row>
    <row r="482" spans="1:12" x14ac:dyDescent="0.35">
      <c r="A482" t="s">
        <v>920</v>
      </c>
      <c r="B482" t="s">
        <v>85</v>
      </c>
      <c r="C482" t="s">
        <v>90</v>
      </c>
      <c r="D482">
        <v>82</v>
      </c>
      <c r="E482">
        <v>0</v>
      </c>
      <c r="F482">
        <v>0</v>
      </c>
      <c r="G482" s="1">
        <v>45303</v>
      </c>
      <c r="H482">
        <f t="shared" si="21"/>
        <v>2024</v>
      </c>
      <c r="I482" s="3" t="str">
        <f t="shared" si="22"/>
        <v>Jan-2024</v>
      </c>
      <c r="J482">
        <f t="shared" si="23"/>
        <v>2</v>
      </c>
      <c r="K482" t="s">
        <v>47</v>
      </c>
      <c r="L482" t="s">
        <v>921</v>
      </c>
    </row>
    <row r="483" spans="1:12" x14ac:dyDescent="0.35">
      <c r="A483" t="s">
        <v>1047</v>
      </c>
      <c r="B483" t="s">
        <v>61</v>
      </c>
      <c r="C483" t="s">
        <v>23</v>
      </c>
      <c r="D483">
        <v>1</v>
      </c>
      <c r="E483">
        <v>157553.43</v>
      </c>
      <c r="F483">
        <v>157553.43</v>
      </c>
      <c r="G483" s="1">
        <v>45306</v>
      </c>
      <c r="H483">
        <f t="shared" si="21"/>
        <v>2024</v>
      </c>
      <c r="I483" s="3" t="str">
        <f t="shared" si="22"/>
        <v>Jan-2024</v>
      </c>
      <c r="J483">
        <f t="shared" si="23"/>
        <v>3</v>
      </c>
      <c r="K483" t="s">
        <v>28</v>
      </c>
      <c r="L483" t="s">
        <v>922</v>
      </c>
    </row>
    <row r="484" spans="1:12" x14ac:dyDescent="0.35">
      <c r="A484" t="s">
        <v>923</v>
      </c>
      <c r="B484" t="s">
        <v>79</v>
      </c>
      <c r="C484" t="s">
        <v>17</v>
      </c>
      <c r="D484">
        <v>1</v>
      </c>
      <c r="E484">
        <v>72670.17</v>
      </c>
      <c r="F484">
        <v>72670.17</v>
      </c>
      <c r="G484" s="1">
        <v>45157</v>
      </c>
      <c r="H484">
        <f t="shared" si="21"/>
        <v>2023</v>
      </c>
      <c r="I484" s="3" t="str">
        <f t="shared" si="22"/>
        <v>Aug-2023</v>
      </c>
      <c r="J484">
        <f t="shared" si="23"/>
        <v>33</v>
      </c>
      <c r="K484" t="s">
        <v>9</v>
      </c>
      <c r="L484" t="s">
        <v>924</v>
      </c>
    </row>
    <row r="485" spans="1:12" x14ac:dyDescent="0.35">
      <c r="A485" t="s">
        <v>925</v>
      </c>
      <c r="B485" t="s">
        <v>131</v>
      </c>
      <c r="C485" t="s">
        <v>90</v>
      </c>
      <c r="D485">
        <v>1</v>
      </c>
      <c r="E485">
        <v>186124.36</v>
      </c>
      <c r="F485">
        <v>186124.36</v>
      </c>
      <c r="G485" s="1">
        <v>45638</v>
      </c>
      <c r="H485">
        <f t="shared" si="21"/>
        <v>2024</v>
      </c>
      <c r="I485" s="3" t="str">
        <f t="shared" si="22"/>
        <v>Dec-2024</v>
      </c>
      <c r="J485">
        <f t="shared" si="23"/>
        <v>50</v>
      </c>
      <c r="K485" t="s">
        <v>9</v>
      </c>
      <c r="L485" t="s">
        <v>926</v>
      </c>
    </row>
    <row r="486" spans="1:12" x14ac:dyDescent="0.35">
      <c r="A486" t="s">
        <v>927</v>
      </c>
      <c r="B486" t="s">
        <v>105</v>
      </c>
      <c r="C486" t="s">
        <v>55</v>
      </c>
      <c r="D486">
        <v>62</v>
      </c>
      <c r="E486">
        <v>76099.25</v>
      </c>
      <c r="F486">
        <v>4718153.5</v>
      </c>
      <c r="G486" s="1">
        <v>45821</v>
      </c>
      <c r="H486">
        <f t="shared" si="21"/>
        <v>2025</v>
      </c>
      <c r="I486" s="3" t="str">
        <f t="shared" si="22"/>
        <v>Jun-2025</v>
      </c>
      <c r="J486">
        <f t="shared" si="23"/>
        <v>24</v>
      </c>
      <c r="K486" t="s">
        <v>9</v>
      </c>
      <c r="L486" t="s">
        <v>928</v>
      </c>
    </row>
    <row r="487" spans="1:12" x14ac:dyDescent="0.35">
      <c r="A487" t="s">
        <v>929</v>
      </c>
      <c r="B487" t="s">
        <v>34</v>
      </c>
      <c r="C487" t="s">
        <v>12</v>
      </c>
      <c r="D487">
        <v>1</v>
      </c>
      <c r="E487">
        <v>106655.11</v>
      </c>
      <c r="F487">
        <v>106655.11</v>
      </c>
      <c r="G487" s="1">
        <v>45530</v>
      </c>
      <c r="H487">
        <f t="shared" si="21"/>
        <v>2024</v>
      </c>
      <c r="I487" s="3" t="str">
        <f t="shared" si="22"/>
        <v>Aug-2024</v>
      </c>
      <c r="J487">
        <f t="shared" si="23"/>
        <v>35</v>
      </c>
      <c r="K487" t="s">
        <v>13</v>
      </c>
      <c r="L487" t="s">
        <v>930</v>
      </c>
    </row>
    <row r="488" spans="1:12" x14ac:dyDescent="0.35">
      <c r="A488" t="s">
        <v>931</v>
      </c>
      <c r="B488" t="s">
        <v>11</v>
      </c>
      <c r="C488" t="s">
        <v>46</v>
      </c>
      <c r="D488">
        <v>1</v>
      </c>
      <c r="E488">
        <v>238583.43</v>
      </c>
      <c r="F488">
        <v>238583.43</v>
      </c>
      <c r="G488" s="1">
        <v>45293</v>
      </c>
      <c r="H488">
        <f t="shared" si="21"/>
        <v>2024</v>
      </c>
      <c r="I488" s="3" t="str">
        <f t="shared" si="22"/>
        <v>Jan-2024</v>
      </c>
      <c r="J488">
        <f t="shared" si="23"/>
        <v>1</v>
      </c>
      <c r="K488" t="s">
        <v>13</v>
      </c>
      <c r="L488" t="s">
        <v>932</v>
      </c>
    </row>
    <row r="489" spans="1:12" x14ac:dyDescent="0.35">
      <c r="A489" t="s">
        <v>933</v>
      </c>
      <c r="B489" t="s">
        <v>131</v>
      </c>
      <c r="C489" t="s">
        <v>23</v>
      </c>
      <c r="D489">
        <v>1</v>
      </c>
      <c r="E489">
        <v>24166.26</v>
      </c>
      <c r="F489">
        <v>24166.26</v>
      </c>
      <c r="G489" s="1">
        <v>45613</v>
      </c>
      <c r="H489">
        <f t="shared" si="21"/>
        <v>2024</v>
      </c>
      <c r="I489" s="3" t="str">
        <f t="shared" si="22"/>
        <v>Nov-2024</v>
      </c>
      <c r="J489">
        <f t="shared" si="23"/>
        <v>47</v>
      </c>
      <c r="K489" t="s">
        <v>13</v>
      </c>
      <c r="L489" s="2" t="s">
        <v>934</v>
      </c>
    </row>
    <row r="490" spans="1:12" x14ac:dyDescent="0.35">
      <c r="A490" t="s">
        <v>935</v>
      </c>
      <c r="B490" t="s">
        <v>131</v>
      </c>
      <c r="C490" t="s">
        <v>55</v>
      </c>
      <c r="D490">
        <v>8</v>
      </c>
      <c r="E490">
        <v>287809.69</v>
      </c>
      <c r="F490">
        <v>2302477.52</v>
      </c>
      <c r="G490" s="1">
        <v>45298</v>
      </c>
      <c r="H490">
        <f t="shared" si="21"/>
        <v>2024</v>
      </c>
      <c r="I490" s="3" t="str">
        <f t="shared" si="22"/>
        <v>Jan-2024</v>
      </c>
      <c r="J490">
        <f t="shared" si="23"/>
        <v>2</v>
      </c>
      <c r="K490" t="s">
        <v>47</v>
      </c>
      <c r="L490" t="s">
        <v>936</v>
      </c>
    </row>
    <row r="491" spans="1:12" x14ac:dyDescent="0.35">
      <c r="A491" t="s">
        <v>937</v>
      </c>
      <c r="B491" t="s">
        <v>53</v>
      </c>
      <c r="C491" t="s">
        <v>70</v>
      </c>
      <c r="D491">
        <v>1</v>
      </c>
      <c r="E491">
        <v>137969.82</v>
      </c>
      <c r="F491">
        <v>137969.82</v>
      </c>
      <c r="G491" s="1">
        <v>45158</v>
      </c>
      <c r="H491">
        <f t="shared" si="21"/>
        <v>2023</v>
      </c>
      <c r="I491" s="3" t="str">
        <f t="shared" si="22"/>
        <v>Aug-2023</v>
      </c>
      <c r="J491">
        <f t="shared" si="23"/>
        <v>34</v>
      </c>
      <c r="K491" t="s">
        <v>28</v>
      </c>
      <c r="L491" t="s">
        <v>938</v>
      </c>
    </row>
    <row r="492" spans="1:12" x14ac:dyDescent="0.35">
      <c r="A492" t="s">
        <v>939</v>
      </c>
      <c r="B492" t="s">
        <v>42</v>
      </c>
      <c r="C492" t="s">
        <v>12</v>
      </c>
      <c r="D492">
        <v>1</v>
      </c>
      <c r="E492">
        <v>0</v>
      </c>
      <c r="F492">
        <v>0</v>
      </c>
      <c r="G492" s="1">
        <v>45195</v>
      </c>
      <c r="H492">
        <f t="shared" si="21"/>
        <v>2023</v>
      </c>
      <c r="I492" s="3" t="str">
        <f t="shared" si="22"/>
        <v>Sep-2023</v>
      </c>
      <c r="J492">
        <f t="shared" si="23"/>
        <v>39</v>
      </c>
      <c r="K492" t="s">
        <v>47</v>
      </c>
      <c r="L492" t="s">
        <v>1134</v>
      </c>
    </row>
    <row r="493" spans="1:12" x14ac:dyDescent="0.35">
      <c r="A493" t="s">
        <v>940</v>
      </c>
      <c r="B493" t="s">
        <v>79</v>
      </c>
      <c r="C493" t="s">
        <v>27</v>
      </c>
      <c r="D493">
        <v>1</v>
      </c>
      <c r="E493">
        <v>73340.759999999995</v>
      </c>
      <c r="F493">
        <v>73340.759999999995</v>
      </c>
      <c r="G493" s="1">
        <v>45439</v>
      </c>
      <c r="H493">
        <f t="shared" si="21"/>
        <v>2024</v>
      </c>
      <c r="I493" s="3" t="str">
        <f t="shared" si="22"/>
        <v>May-2024</v>
      </c>
      <c r="J493">
        <f t="shared" si="23"/>
        <v>22</v>
      </c>
      <c r="K493" t="s">
        <v>47</v>
      </c>
      <c r="L493" t="s">
        <v>941</v>
      </c>
    </row>
    <row r="494" spans="1:12" x14ac:dyDescent="0.35">
      <c r="A494" t="s">
        <v>942</v>
      </c>
      <c r="B494" t="s">
        <v>61</v>
      </c>
      <c r="C494" t="s">
        <v>12</v>
      </c>
      <c r="D494">
        <v>78</v>
      </c>
      <c r="E494">
        <v>209322.28</v>
      </c>
      <c r="F494">
        <v>16327137.84</v>
      </c>
      <c r="G494" s="1">
        <v>45374</v>
      </c>
      <c r="H494">
        <f t="shared" si="21"/>
        <v>2024</v>
      </c>
      <c r="I494" s="3" t="str">
        <f t="shared" si="22"/>
        <v>Mar-2024</v>
      </c>
      <c r="J494">
        <f t="shared" si="23"/>
        <v>12</v>
      </c>
      <c r="K494" t="s">
        <v>9</v>
      </c>
      <c r="L494" t="s">
        <v>943</v>
      </c>
    </row>
    <row r="495" spans="1:12" x14ac:dyDescent="0.35">
      <c r="A495" t="s">
        <v>944</v>
      </c>
      <c r="B495" t="s">
        <v>89</v>
      </c>
      <c r="C495" t="s">
        <v>55</v>
      </c>
      <c r="D495">
        <v>1</v>
      </c>
      <c r="E495">
        <v>90342.399999999994</v>
      </c>
      <c r="F495">
        <v>90342.399999999994</v>
      </c>
      <c r="G495" s="1">
        <v>45675</v>
      </c>
      <c r="H495">
        <f t="shared" si="21"/>
        <v>2025</v>
      </c>
      <c r="I495" s="3" t="str">
        <f t="shared" si="22"/>
        <v>Jan-2025</v>
      </c>
      <c r="J495">
        <f t="shared" si="23"/>
        <v>3</v>
      </c>
      <c r="K495" t="s">
        <v>47</v>
      </c>
      <c r="L495" t="s">
        <v>945</v>
      </c>
    </row>
    <row r="496" spans="1:12" x14ac:dyDescent="0.35">
      <c r="A496" t="s">
        <v>1047</v>
      </c>
      <c r="B496" t="s">
        <v>76</v>
      </c>
      <c r="C496" t="s">
        <v>23</v>
      </c>
      <c r="D496">
        <v>1</v>
      </c>
      <c r="E496">
        <v>248504.59</v>
      </c>
      <c r="F496">
        <v>248504.59</v>
      </c>
      <c r="G496" s="1">
        <v>45484</v>
      </c>
      <c r="H496">
        <f t="shared" si="21"/>
        <v>2024</v>
      </c>
      <c r="I496" s="3" t="str">
        <f t="shared" si="22"/>
        <v>Jul-2024</v>
      </c>
      <c r="J496">
        <f t="shared" si="23"/>
        <v>28</v>
      </c>
      <c r="K496" t="s">
        <v>47</v>
      </c>
      <c r="L496" t="s">
        <v>946</v>
      </c>
    </row>
    <row r="497" spans="1:12" x14ac:dyDescent="0.35">
      <c r="A497" t="s">
        <v>947</v>
      </c>
      <c r="B497" t="s">
        <v>76</v>
      </c>
      <c r="C497" t="s">
        <v>12</v>
      </c>
      <c r="D497">
        <v>1</v>
      </c>
      <c r="E497">
        <v>24644.77</v>
      </c>
      <c r="F497">
        <v>24644.77</v>
      </c>
      <c r="G497" s="1">
        <v>45196</v>
      </c>
      <c r="H497">
        <f t="shared" si="21"/>
        <v>2023</v>
      </c>
      <c r="I497" s="3" t="str">
        <f t="shared" si="22"/>
        <v>Sep-2023</v>
      </c>
      <c r="J497">
        <f t="shared" si="23"/>
        <v>39</v>
      </c>
      <c r="K497" t="s">
        <v>9</v>
      </c>
      <c r="L497" t="s">
        <v>948</v>
      </c>
    </row>
    <row r="498" spans="1:12" x14ac:dyDescent="0.35">
      <c r="A498" t="s">
        <v>949</v>
      </c>
      <c r="B498" t="s">
        <v>76</v>
      </c>
      <c r="C498" t="s">
        <v>23</v>
      </c>
      <c r="D498">
        <v>1</v>
      </c>
      <c r="E498">
        <v>297506.57</v>
      </c>
      <c r="F498">
        <v>297506.57</v>
      </c>
      <c r="G498" s="1">
        <v>45647</v>
      </c>
      <c r="H498">
        <f t="shared" si="21"/>
        <v>2024</v>
      </c>
      <c r="I498" s="3" t="str">
        <f t="shared" si="22"/>
        <v>Dec-2024</v>
      </c>
      <c r="J498">
        <f t="shared" si="23"/>
        <v>51</v>
      </c>
      <c r="K498" t="s">
        <v>47</v>
      </c>
      <c r="L498" t="s">
        <v>950</v>
      </c>
    </row>
    <row r="499" spans="1:12" x14ac:dyDescent="0.35">
      <c r="A499" t="s">
        <v>951</v>
      </c>
      <c r="B499" t="s">
        <v>53</v>
      </c>
      <c r="C499" t="s">
        <v>17</v>
      </c>
      <c r="D499">
        <v>1</v>
      </c>
      <c r="E499">
        <v>195143.39</v>
      </c>
      <c r="F499">
        <v>195143.39</v>
      </c>
      <c r="G499" s="1">
        <v>45716</v>
      </c>
      <c r="H499">
        <f t="shared" si="21"/>
        <v>2025</v>
      </c>
      <c r="I499" s="3" t="str">
        <f t="shared" si="22"/>
        <v>Feb-2025</v>
      </c>
      <c r="J499">
        <f t="shared" si="23"/>
        <v>9</v>
      </c>
      <c r="K499" t="s">
        <v>47</v>
      </c>
      <c r="L499" t="s">
        <v>952</v>
      </c>
    </row>
    <row r="500" spans="1:12" x14ac:dyDescent="0.35">
      <c r="A500" t="s">
        <v>953</v>
      </c>
      <c r="B500" t="s">
        <v>58</v>
      </c>
      <c r="C500" t="s">
        <v>23</v>
      </c>
      <c r="D500">
        <v>1</v>
      </c>
      <c r="E500">
        <v>9989.51</v>
      </c>
      <c r="F500">
        <v>9989.51</v>
      </c>
      <c r="G500" s="1">
        <v>45224</v>
      </c>
      <c r="H500">
        <f t="shared" si="21"/>
        <v>2023</v>
      </c>
      <c r="I500" s="3" t="str">
        <f t="shared" si="22"/>
        <v>Oct-2023</v>
      </c>
      <c r="J500">
        <f t="shared" si="23"/>
        <v>43</v>
      </c>
      <c r="K500" t="s">
        <v>28</v>
      </c>
      <c r="L500" t="s">
        <v>954</v>
      </c>
    </row>
    <row r="501" spans="1:12" x14ac:dyDescent="0.35">
      <c r="A501" t="s">
        <v>955</v>
      </c>
      <c r="B501" t="s">
        <v>213</v>
      </c>
      <c r="C501" t="s">
        <v>55</v>
      </c>
      <c r="D501">
        <v>1</v>
      </c>
      <c r="E501">
        <v>121880.85</v>
      </c>
      <c r="F501">
        <v>121880.85</v>
      </c>
      <c r="G501" s="1">
        <v>45122</v>
      </c>
      <c r="H501">
        <f t="shared" si="21"/>
        <v>2023</v>
      </c>
      <c r="I501" s="3" t="str">
        <f t="shared" si="22"/>
        <v>Jul-2023</v>
      </c>
      <c r="J501">
        <f t="shared" si="23"/>
        <v>28</v>
      </c>
      <c r="K501" t="s">
        <v>13</v>
      </c>
      <c r="L501" t="s">
        <v>956</v>
      </c>
    </row>
    <row r="502" spans="1:12" x14ac:dyDescent="0.35">
      <c r="A502" t="s">
        <v>957</v>
      </c>
      <c r="B502" t="s">
        <v>85</v>
      </c>
      <c r="C502" t="s">
        <v>46</v>
      </c>
      <c r="D502">
        <v>1</v>
      </c>
      <c r="E502">
        <v>0</v>
      </c>
      <c r="F502">
        <v>0</v>
      </c>
      <c r="G502" s="1">
        <v>45545</v>
      </c>
      <c r="H502">
        <f t="shared" si="21"/>
        <v>2024</v>
      </c>
      <c r="I502" s="3" t="str">
        <f t="shared" si="22"/>
        <v>Sep-2024</v>
      </c>
      <c r="J502">
        <f t="shared" si="23"/>
        <v>37</v>
      </c>
      <c r="K502" t="s">
        <v>47</v>
      </c>
      <c r="L502" t="s">
        <v>958</v>
      </c>
    </row>
    <row r="503" spans="1:12" x14ac:dyDescent="0.35">
      <c r="A503" t="s">
        <v>959</v>
      </c>
      <c r="B503" t="s">
        <v>37</v>
      </c>
      <c r="C503" t="s">
        <v>17</v>
      </c>
      <c r="D503">
        <v>58</v>
      </c>
      <c r="E503">
        <v>113462.29</v>
      </c>
      <c r="F503">
        <v>6580812.8199999994</v>
      </c>
      <c r="G503" s="1">
        <v>45839</v>
      </c>
      <c r="H503">
        <f t="shared" si="21"/>
        <v>2025</v>
      </c>
      <c r="I503" s="3" t="str">
        <f t="shared" si="22"/>
        <v>Jul-2025</v>
      </c>
      <c r="J503">
        <f t="shared" si="23"/>
        <v>27</v>
      </c>
      <c r="K503" t="s">
        <v>47</v>
      </c>
      <c r="L503" t="s">
        <v>960</v>
      </c>
    </row>
    <row r="504" spans="1:12" x14ac:dyDescent="0.35">
      <c r="A504" t="s">
        <v>961</v>
      </c>
      <c r="B504" t="s">
        <v>131</v>
      </c>
      <c r="C504" t="s">
        <v>46</v>
      </c>
      <c r="D504">
        <v>19</v>
      </c>
      <c r="E504">
        <v>143063.53</v>
      </c>
      <c r="F504">
        <v>2718207.07</v>
      </c>
      <c r="G504" s="1">
        <v>45240</v>
      </c>
      <c r="H504">
        <f t="shared" si="21"/>
        <v>2023</v>
      </c>
      <c r="I504" s="3" t="str">
        <f t="shared" si="22"/>
        <v>Nov-2023</v>
      </c>
      <c r="J504">
        <f t="shared" si="23"/>
        <v>45</v>
      </c>
      <c r="K504" t="s">
        <v>28</v>
      </c>
      <c r="L504" t="s">
        <v>962</v>
      </c>
    </row>
    <row r="505" spans="1:12" x14ac:dyDescent="0.35">
      <c r="A505" t="s">
        <v>963</v>
      </c>
      <c r="B505" t="s">
        <v>58</v>
      </c>
      <c r="C505" t="s">
        <v>12</v>
      </c>
      <c r="D505">
        <v>1</v>
      </c>
      <c r="E505">
        <v>191206.05</v>
      </c>
      <c r="F505">
        <v>191206.05</v>
      </c>
      <c r="G505" s="1">
        <v>45434</v>
      </c>
      <c r="H505">
        <f t="shared" si="21"/>
        <v>2024</v>
      </c>
      <c r="I505" s="3" t="str">
        <f t="shared" si="22"/>
        <v>May-2024</v>
      </c>
      <c r="J505">
        <f t="shared" si="23"/>
        <v>21</v>
      </c>
      <c r="K505" t="s">
        <v>47</v>
      </c>
      <c r="L505" t="s">
        <v>964</v>
      </c>
    </row>
    <row r="506" spans="1:12" x14ac:dyDescent="0.35">
      <c r="A506" t="s">
        <v>965</v>
      </c>
      <c r="B506" t="s">
        <v>61</v>
      </c>
      <c r="C506" t="s">
        <v>27</v>
      </c>
      <c r="D506">
        <v>1</v>
      </c>
      <c r="E506">
        <v>211002.12</v>
      </c>
      <c r="F506">
        <v>211002.12</v>
      </c>
      <c r="G506" s="1">
        <v>45625</v>
      </c>
      <c r="H506">
        <f t="shared" si="21"/>
        <v>2024</v>
      </c>
      <c r="I506" s="3" t="str">
        <f t="shared" si="22"/>
        <v>Nov-2024</v>
      </c>
      <c r="J506">
        <f t="shared" si="23"/>
        <v>48</v>
      </c>
      <c r="K506" t="s">
        <v>28</v>
      </c>
      <c r="L506" t="s">
        <v>1135</v>
      </c>
    </row>
    <row r="507" spans="1:12" x14ac:dyDescent="0.35">
      <c r="A507" t="s">
        <v>966</v>
      </c>
      <c r="B507" t="s">
        <v>89</v>
      </c>
      <c r="C507" t="s">
        <v>70</v>
      </c>
      <c r="D507">
        <v>54</v>
      </c>
      <c r="E507">
        <v>25264.49</v>
      </c>
      <c r="F507">
        <v>1364282.4600000002</v>
      </c>
      <c r="G507" s="1">
        <v>45844</v>
      </c>
      <c r="H507">
        <f t="shared" si="21"/>
        <v>2025</v>
      </c>
      <c r="I507" s="3" t="str">
        <f t="shared" si="22"/>
        <v>Jul-2025</v>
      </c>
      <c r="J507">
        <f t="shared" si="23"/>
        <v>28</v>
      </c>
      <c r="K507" t="s">
        <v>47</v>
      </c>
      <c r="L507" t="s">
        <v>967</v>
      </c>
    </row>
    <row r="508" spans="1:12" x14ac:dyDescent="0.35">
      <c r="A508" t="s">
        <v>968</v>
      </c>
      <c r="B508" t="s">
        <v>37</v>
      </c>
      <c r="C508" t="s">
        <v>55</v>
      </c>
      <c r="D508">
        <v>1</v>
      </c>
      <c r="E508">
        <v>253676.27</v>
      </c>
      <c r="F508">
        <v>253676.27</v>
      </c>
      <c r="G508" s="1">
        <v>45802</v>
      </c>
      <c r="H508">
        <f t="shared" si="21"/>
        <v>2025</v>
      </c>
      <c r="I508" s="3" t="str">
        <f t="shared" si="22"/>
        <v>May-2025</v>
      </c>
      <c r="J508">
        <f t="shared" si="23"/>
        <v>22</v>
      </c>
      <c r="K508" t="s">
        <v>9</v>
      </c>
      <c r="L508" t="s">
        <v>969</v>
      </c>
    </row>
    <row r="509" spans="1:12" x14ac:dyDescent="0.35">
      <c r="A509" t="s">
        <v>1047</v>
      </c>
      <c r="B509" t="s">
        <v>20</v>
      </c>
      <c r="C509" t="s">
        <v>46</v>
      </c>
      <c r="D509">
        <v>1</v>
      </c>
      <c r="E509">
        <v>193649.72</v>
      </c>
      <c r="F509">
        <v>193649.72</v>
      </c>
      <c r="G509" s="1">
        <v>45800</v>
      </c>
      <c r="H509">
        <f t="shared" si="21"/>
        <v>2025</v>
      </c>
      <c r="I509" s="3" t="str">
        <f t="shared" si="22"/>
        <v>May-2025</v>
      </c>
      <c r="J509">
        <f t="shared" si="23"/>
        <v>21</v>
      </c>
      <c r="K509" t="s">
        <v>9</v>
      </c>
      <c r="L509" t="s">
        <v>970</v>
      </c>
    </row>
    <row r="510" spans="1:12" x14ac:dyDescent="0.35">
      <c r="A510" t="s">
        <v>971</v>
      </c>
      <c r="B510" t="s">
        <v>131</v>
      </c>
      <c r="C510" t="s">
        <v>70</v>
      </c>
      <c r="D510">
        <v>41</v>
      </c>
      <c r="E510">
        <v>99715.55</v>
      </c>
      <c r="F510">
        <v>4088337.5500000003</v>
      </c>
      <c r="G510" s="1">
        <v>45487</v>
      </c>
      <c r="H510">
        <f t="shared" si="21"/>
        <v>2024</v>
      </c>
      <c r="I510" s="3" t="str">
        <f t="shared" si="22"/>
        <v>Jul-2024</v>
      </c>
      <c r="J510">
        <f t="shared" si="23"/>
        <v>29</v>
      </c>
      <c r="K510" t="s">
        <v>47</v>
      </c>
      <c r="L510" t="s">
        <v>972</v>
      </c>
    </row>
    <row r="511" spans="1:12" x14ac:dyDescent="0.35">
      <c r="A511" t="s">
        <v>973</v>
      </c>
      <c r="B511" t="s">
        <v>20</v>
      </c>
      <c r="C511" t="s">
        <v>90</v>
      </c>
      <c r="D511">
        <v>98</v>
      </c>
      <c r="E511">
        <v>293210.09999999998</v>
      </c>
      <c r="F511">
        <v>28734589.799999997</v>
      </c>
      <c r="G511" s="1">
        <v>45488</v>
      </c>
      <c r="H511">
        <f t="shared" si="21"/>
        <v>2024</v>
      </c>
      <c r="I511" s="3" t="str">
        <f t="shared" si="22"/>
        <v>Jul-2024</v>
      </c>
      <c r="J511">
        <f t="shared" si="23"/>
        <v>29</v>
      </c>
      <c r="K511" t="s">
        <v>9</v>
      </c>
      <c r="L511" t="s">
        <v>974</v>
      </c>
    </row>
    <row r="512" spans="1:12" x14ac:dyDescent="0.35">
      <c r="A512" t="s">
        <v>975</v>
      </c>
      <c r="B512" t="s">
        <v>53</v>
      </c>
      <c r="C512" t="s">
        <v>23</v>
      </c>
      <c r="D512">
        <v>1</v>
      </c>
      <c r="E512">
        <v>0</v>
      </c>
      <c r="F512">
        <v>0</v>
      </c>
      <c r="G512" s="1">
        <v>45623</v>
      </c>
      <c r="H512">
        <f t="shared" si="21"/>
        <v>2024</v>
      </c>
      <c r="I512" s="3" t="str">
        <f t="shared" si="22"/>
        <v>Nov-2024</v>
      </c>
      <c r="J512">
        <f t="shared" si="23"/>
        <v>48</v>
      </c>
      <c r="K512" t="s">
        <v>47</v>
      </c>
      <c r="L512" t="s">
        <v>976</v>
      </c>
    </row>
    <row r="513" spans="1:12" x14ac:dyDescent="0.35">
      <c r="A513" t="s">
        <v>977</v>
      </c>
      <c r="B513" t="s">
        <v>26</v>
      </c>
      <c r="C513" t="s">
        <v>46</v>
      </c>
      <c r="D513">
        <v>1</v>
      </c>
      <c r="E513">
        <v>292165</v>
      </c>
      <c r="F513">
        <v>292165</v>
      </c>
      <c r="G513" s="1">
        <v>45272</v>
      </c>
      <c r="H513">
        <f t="shared" si="21"/>
        <v>2023</v>
      </c>
      <c r="I513" s="3" t="str">
        <f t="shared" si="22"/>
        <v>Dec-2023</v>
      </c>
      <c r="J513">
        <f t="shared" si="23"/>
        <v>50</v>
      </c>
      <c r="K513" t="s">
        <v>28</v>
      </c>
      <c r="L513" t="s">
        <v>978</v>
      </c>
    </row>
    <row r="514" spans="1:12" x14ac:dyDescent="0.35">
      <c r="A514" t="s">
        <v>979</v>
      </c>
      <c r="B514" t="s">
        <v>11</v>
      </c>
      <c r="C514" t="s">
        <v>17</v>
      </c>
      <c r="D514">
        <v>1</v>
      </c>
      <c r="E514">
        <v>268489.96999999997</v>
      </c>
      <c r="F514">
        <v>268489.96999999997</v>
      </c>
      <c r="G514" s="1">
        <v>45705</v>
      </c>
      <c r="H514">
        <f t="shared" si="21"/>
        <v>2025</v>
      </c>
      <c r="I514" s="3" t="str">
        <f t="shared" si="22"/>
        <v>Feb-2025</v>
      </c>
      <c r="J514">
        <f t="shared" si="23"/>
        <v>8</v>
      </c>
      <c r="K514" t="s">
        <v>13</v>
      </c>
      <c r="L514" t="s">
        <v>980</v>
      </c>
    </row>
    <row r="515" spans="1:12" x14ac:dyDescent="0.35">
      <c r="A515" t="s">
        <v>981</v>
      </c>
      <c r="B515" t="s">
        <v>45</v>
      </c>
      <c r="C515" t="s">
        <v>55</v>
      </c>
      <c r="D515">
        <v>3</v>
      </c>
      <c r="E515">
        <v>275786.09000000003</v>
      </c>
      <c r="F515">
        <v>827358.27</v>
      </c>
      <c r="G515" s="1">
        <v>45341</v>
      </c>
      <c r="H515">
        <f t="shared" ref="H515:H551" si="24">YEAR(G515)</f>
        <v>2024</v>
      </c>
      <c r="I515" s="3" t="str">
        <f t="shared" ref="I515:I551" si="25">TEXT(G515,"mmm-yyyy")</f>
        <v>Feb-2024</v>
      </c>
      <c r="J515">
        <f t="shared" ref="J515:J551" si="26">WEEKNUM(G515)</f>
        <v>8</v>
      </c>
      <c r="K515" t="s">
        <v>28</v>
      </c>
      <c r="L515" t="s">
        <v>982</v>
      </c>
    </row>
    <row r="516" spans="1:12" x14ac:dyDescent="0.35">
      <c r="A516" t="s">
        <v>983</v>
      </c>
      <c r="B516" t="s">
        <v>20</v>
      </c>
      <c r="C516" t="s">
        <v>23</v>
      </c>
      <c r="D516">
        <v>1</v>
      </c>
      <c r="E516">
        <v>69315.070000000007</v>
      </c>
      <c r="F516">
        <v>69315.070000000007</v>
      </c>
      <c r="G516" s="1">
        <v>45367</v>
      </c>
      <c r="H516">
        <f t="shared" si="24"/>
        <v>2024</v>
      </c>
      <c r="I516" s="3" t="str">
        <f t="shared" si="25"/>
        <v>Mar-2024</v>
      </c>
      <c r="J516">
        <f t="shared" si="26"/>
        <v>11</v>
      </c>
      <c r="K516" t="s">
        <v>13</v>
      </c>
      <c r="L516" t="s">
        <v>984</v>
      </c>
    </row>
    <row r="517" spans="1:12" x14ac:dyDescent="0.35">
      <c r="A517" t="s">
        <v>985</v>
      </c>
      <c r="B517" t="s">
        <v>213</v>
      </c>
      <c r="C517" t="s">
        <v>70</v>
      </c>
      <c r="D517">
        <v>59</v>
      </c>
      <c r="E517">
        <v>270431.25</v>
      </c>
      <c r="F517">
        <v>15955443.75</v>
      </c>
      <c r="G517" s="1">
        <v>45339</v>
      </c>
      <c r="H517">
        <f t="shared" si="24"/>
        <v>2024</v>
      </c>
      <c r="I517" s="3" t="str">
        <f t="shared" si="25"/>
        <v>Feb-2024</v>
      </c>
      <c r="J517">
        <f t="shared" si="26"/>
        <v>7</v>
      </c>
      <c r="K517" t="s">
        <v>47</v>
      </c>
      <c r="L517" t="s">
        <v>986</v>
      </c>
    </row>
    <row r="518" spans="1:12" x14ac:dyDescent="0.35">
      <c r="A518" t="s">
        <v>987</v>
      </c>
      <c r="B518" t="s">
        <v>61</v>
      </c>
      <c r="C518" t="s">
        <v>55</v>
      </c>
      <c r="D518">
        <v>1</v>
      </c>
      <c r="E518">
        <v>207840.17</v>
      </c>
      <c r="F518">
        <v>207840.17</v>
      </c>
      <c r="G518" s="1">
        <v>45619</v>
      </c>
      <c r="H518">
        <f t="shared" si="24"/>
        <v>2024</v>
      </c>
      <c r="I518" s="3" t="str">
        <f t="shared" si="25"/>
        <v>Nov-2024</v>
      </c>
      <c r="J518">
        <f t="shared" si="26"/>
        <v>47</v>
      </c>
      <c r="K518" t="s">
        <v>47</v>
      </c>
      <c r="L518" t="s">
        <v>988</v>
      </c>
    </row>
    <row r="519" spans="1:12" x14ac:dyDescent="0.35">
      <c r="A519" t="s">
        <v>989</v>
      </c>
      <c r="B519" t="s">
        <v>37</v>
      </c>
      <c r="C519" t="s">
        <v>46</v>
      </c>
      <c r="D519">
        <v>46</v>
      </c>
      <c r="E519">
        <v>170251.85</v>
      </c>
      <c r="F519">
        <v>7831585.1000000006</v>
      </c>
      <c r="G519" s="1">
        <v>45163</v>
      </c>
      <c r="H519">
        <f t="shared" si="24"/>
        <v>2023</v>
      </c>
      <c r="I519" s="3" t="str">
        <f t="shared" si="25"/>
        <v>Aug-2023</v>
      </c>
      <c r="J519">
        <f t="shared" si="26"/>
        <v>34</v>
      </c>
      <c r="K519" t="s">
        <v>13</v>
      </c>
      <c r="L519" t="s">
        <v>990</v>
      </c>
    </row>
    <row r="520" spans="1:12" x14ac:dyDescent="0.35">
      <c r="A520" t="s">
        <v>991</v>
      </c>
      <c r="B520" t="s">
        <v>76</v>
      </c>
      <c r="C520" t="s">
        <v>27</v>
      </c>
      <c r="D520">
        <v>1</v>
      </c>
      <c r="E520">
        <v>81692.97</v>
      </c>
      <c r="F520">
        <v>81692.97</v>
      </c>
      <c r="G520" s="1">
        <v>45823</v>
      </c>
      <c r="H520">
        <f t="shared" si="24"/>
        <v>2025</v>
      </c>
      <c r="I520" s="3" t="str">
        <f t="shared" si="25"/>
        <v>Jun-2025</v>
      </c>
      <c r="J520">
        <f t="shared" si="26"/>
        <v>25</v>
      </c>
      <c r="K520" t="s">
        <v>9</v>
      </c>
      <c r="L520" t="s">
        <v>1136</v>
      </c>
    </row>
    <row r="521" spans="1:12" x14ac:dyDescent="0.35">
      <c r="A521" t="s">
        <v>992</v>
      </c>
      <c r="B521" t="s">
        <v>42</v>
      </c>
      <c r="C521" t="s">
        <v>17</v>
      </c>
      <c r="D521">
        <v>1</v>
      </c>
      <c r="E521">
        <v>277285.7</v>
      </c>
      <c r="F521">
        <v>277285.7</v>
      </c>
      <c r="G521" s="1">
        <v>45715</v>
      </c>
      <c r="H521">
        <f t="shared" si="24"/>
        <v>2025</v>
      </c>
      <c r="I521" s="3" t="str">
        <f t="shared" si="25"/>
        <v>Feb-2025</v>
      </c>
      <c r="J521">
        <f t="shared" si="26"/>
        <v>9</v>
      </c>
      <c r="K521" t="s">
        <v>47</v>
      </c>
      <c r="L521" t="s">
        <v>993</v>
      </c>
    </row>
    <row r="522" spans="1:12" x14ac:dyDescent="0.35">
      <c r="A522" t="s">
        <v>1047</v>
      </c>
      <c r="B522" t="s">
        <v>79</v>
      </c>
      <c r="C522" t="s">
        <v>90</v>
      </c>
      <c r="D522">
        <v>1</v>
      </c>
      <c r="E522">
        <v>0</v>
      </c>
      <c r="F522">
        <v>0</v>
      </c>
      <c r="G522" s="1">
        <v>45187</v>
      </c>
      <c r="H522">
        <f t="shared" si="24"/>
        <v>2023</v>
      </c>
      <c r="I522" s="3" t="str">
        <f t="shared" si="25"/>
        <v>Sep-2023</v>
      </c>
      <c r="J522">
        <f t="shared" si="26"/>
        <v>38</v>
      </c>
      <c r="K522" t="s">
        <v>47</v>
      </c>
      <c r="L522" t="s">
        <v>994</v>
      </c>
    </row>
    <row r="523" spans="1:12" x14ac:dyDescent="0.35">
      <c r="A523" t="s">
        <v>995</v>
      </c>
      <c r="B523" t="s">
        <v>53</v>
      </c>
      <c r="C523" t="s">
        <v>55</v>
      </c>
      <c r="D523">
        <v>1</v>
      </c>
      <c r="E523">
        <v>205486.41</v>
      </c>
      <c r="F523">
        <v>205486.41</v>
      </c>
      <c r="G523" s="1">
        <v>45624</v>
      </c>
      <c r="H523">
        <f t="shared" si="24"/>
        <v>2024</v>
      </c>
      <c r="I523" s="3" t="str">
        <f t="shared" si="25"/>
        <v>Nov-2024</v>
      </c>
      <c r="J523">
        <f t="shared" si="26"/>
        <v>48</v>
      </c>
      <c r="K523" t="s">
        <v>47</v>
      </c>
      <c r="L523" t="s">
        <v>996</v>
      </c>
    </row>
    <row r="524" spans="1:12" x14ac:dyDescent="0.35">
      <c r="A524" t="s">
        <v>997</v>
      </c>
      <c r="B524" t="s">
        <v>105</v>
      </c>
      <c r="C524" t="s">
        <v>27</v>
      </c>
      <c r="D524">
        <v>69</v>
      </c>
      <c r="E524">
        <v>84471.72</v>
      </c>
      <c r="F524">
        <v>5828548.6799999997</v>
      </c>
      <c r="G524" s="1">
        <v>45563</v>
      </c>
      <c r="H524">
        <f t="shared" si="24"/>
        <v>2024</v>
      </c>
      <c r="I524" s="3" t="str">
        <f t="shared" si="25"/>
        <v>Sep-2024</v>
      </c>
      <c r="J524">
        <f t="shared" si="26"/>
        <v>39</v>
      </c>
      <c r="K524" t="s">
        <v>47</v>
      </c>
      <c r="L524" t="s">
        <v>998</v>
      </c>
    </row>
    <row r="525" spans="1:12" x14ac:dyDescent="0.35">
      <c r="A525" t="s">
        <v>999</v>
      </c>
      <c r="B525" t="s">
        <v>213</v>
      </c>
      <c r="C525" t="s">
        <v>46</v>
      </c>
      <c r="D525">
        <v>1</v>
      </c>
      <c r="E525">
        <v>163137.69</v>
      </c>
      <c r="F525">
        <v>163137.69</v>
      </c>
      <c r="G525" s="1">
        <v>45298</v>
      </c>
      <c r="H525">
        <f t="shared" si="24"/>
        <v>2024</v>
      </c>
      <c r="I525" s="3" t="str">
        <f t="shared" si="25"/>
        <v>Jan-2024</v>
      </c>
      <c r="J525">
        <f t="shared" si="26"/>
        <v>2</v>
      </c>
      <c r="K525" t="s">
        <v>47</v>
      </c>
      <c r="L525" t="s">
        <v>1000</v>
      </c>
    </row>
    <row r="526" spans="1:12" x14ac:dyDescent="0.35">
      <c r="A526" t="s">
        <v>1001</v>
      </c>
      <c r="B526" t="s">
        <v>105</v>
      </c>
      <c r="C526" t="s">
        <v>17</v>
      </c>
      <c r="D526">
        <v>1</v>
      </c>
      <c r="E526">
        <v>197603.72</v>
      </c>
      <c r="F526">
        <v>197603.72</v>
      </c>
      <c r="G526" s="1">
        <v>45533</v>
      </c>
      <c r="H526">
        <f t="shared" si="24"/>
        <v>2024</v>
      </c>
      <c r="I526" s="3" t="str">
        <f t="shared" si="25"/>
        <v>Aug-2024</v>
      </c>
      <c r="J526">
        <f t="shared" si="26"/>
        <v>35</v>
      </c>
      <c r="K526" t="s">
        <v>13</v>
      </c>
      <c r="L526" t="s">
        <v>1002</v>
      </c>
    </row>
    <row r="527" spans="1:12" x14ac:dyDescent="0.35">
      <c r="A527" t="s">
        <v>1003</v>
      </c>
      <c r="B527" t="s">
        <v>20</v>
      </c>
      <c r="C527" t="s">
        <v>23</v>
      </c>
      <c r="D527">
        <v>1</v>
      </c>
      <c r="E527">
        <v>54216.67</v>
      </c>
      <c r="F527">
        <v>54216.67</v>
      </c>
      <c r="G527" s="1">
        <v>45691</v>
      </c>
      <c r="H527">
        <f t="shared" si="24"/>
        <v>2025</v>
      </c>
      <c r="I527" s="3" t="str">
        <f t="shared" si="25"/>
        <v>Feb-2025</v>
      </c>
      <c r="J527">
        <f t="shared" si="26"/>
        <v>6</v>
      </c>
      <c r="K527" t="s">
        <v>9</v>
      </c>
      <c r="L527" t="s">
        <v>1004</v>
      </c>
    </row>
    <row r="528" spans="1:12" x14ac:dyDescent="0.35">
      <c r="A528" t="s">
        <v>1056</v>
      </c>
      <c r="B528" t="s">
        <v>26</v>
      </c>
      <c r="C528" t="s">
        <v>70</v>
      </c>
      <c r="D528">
        <v>1</v>
      </c>
      <c r="E528">
        <v>255203.07</v>
      </c>
      <c r="F528">
        <v>255203.07</v>
      </c>
      <c r="G528" s="1">
        <v>45679</v>
      </c>
      <c r="H528">
        <f t="shared" si="24"/>
        <v>2025</v>
      </c>
      <c r="I528" s="3" t="str">
        <f t="shared" si="25"/>
        <v>Jan-2025</v>
      </c>
      <c r="J528">
        <f t="shared" si="26"/>
        <v>4</v>
      </c>
      <c r="K528" t="s">
        <v>13</v>
      </c>
      <c r="L528" t="s">
        <v>1005</v>
      </c>
    </row>
    <row r="529" spans="1:12" x14ac:dyDescent="0.35">
      <c r="A529" t="s">
        <v>1006</v>
      </c>
      <c r="B529" t="s">
        <v>11</v>
      </c>
      <c r="C529" t="s">
        <v>46</v>
      </c>
      <c r="D529">
        <v>47</v>
      </c>
      <c r="E529">
        <v>5189.6000000000004</v>
      </c>
      <c r="F529">
        <v>243911.2</v>
      </c>
      <c r="G529" s="1">
        <v>45778</v>
      </c>
      <c r="H529">
        <f t="shared" si="24"/>
        <v>2025</v>
      </c>
      <c r="I529" s="3" t="str">
        <f t="shared" si="25"/>
        <v>May-2025</v>
      </c>
      <c r="J529">
        <f t="shared" si="26"/>
        <v>18</v>
      </c>
      <c r="K529" t="s">
        <v>47</v>
      </c>
      <c r="L529" t="s">
        <v>1007</v>
      </c>
    </row>
    <row r="530" spans="1:12" x14ac:dyDescent="0.35">
      <c r="A530" t="s">
        <v>1008</v>
      </c>
      <c r="B530" t="s">
        <v>31</v>
      </c>
      <c r="C530" t="s">
        <v>12</v>
      </c>
      <c r="D530">
        <v>52</v>
      </c>
      <c r="E530">
        <v>62543.86</v>
      </c>
      <c r="F530">
        <v>3252280.72</v>
      </c>
      <c r="G530" s="1">
        <v>45845</v>
      </c>
      <c r="H530">
        <f t="shared" si="24"/>
        <v>2025</v>
      </c>
      <c r="I530" s="3" t="str">
        <f t="shared" si="25"/>
        <v>Jul-2025</v>
      </c>
      <c r="J530">
        <f t="shared" si="26"/>
        <v>28</v>
      </c>
      <c r="K530" t="s">
        <v>47</v>
      </c>
      <c r="L530" t="s">
        <v>1009</v>
      </c>
    </row>
    <row r="531" spans="1:12" x14ac:dyDescent="0.35">
      <c r="A531" t="s">
        <v>1010</v>
      </c>
      <c r="B531" t="s">
        <v>42</v>
      </c>
      <c r="C531" t="s">
        <v>90</v>
      </c>
      <c r="D531">
        <v>1</v>
      </c>
      <c r="E531">
        <v>43685.37</v>
      </c>
      <c r="F531">
        <v>43685.37</v>
      </c>
      <c r="G531" s="1">
        <v>45146</v>
      </c>
      <c r="H531">
        <f t="shared" si="24"/>
        <v>2023</v>
      </c>
      <c r="I531" s="3" t="str">
        <f t="shared" si="25"/>
        <v>Aug-2023</v>
      </c>
      <c r="J531">
        <f t="shared" si="26"/>
        <v>32</v>
      </c>
      <c r="K531" t="s">
        <v>47</v>
      </c>
      <c r="L531" t="s">
        <v>1011</v>
      </c>
    </row>
    <row r="532" spans="1:12" x14ac:dyDescent="0.35">
      <c r="A532" t="s">
        <v>1012</v>
      </c>
      <c r="B532" t="s">
        <v>20</v>
      </c>
      <c r="C532" t="s">
        <v>90</v>
      </c>
      <c r="D532">
        <v>1</v>
      </c>
      <c r="E532">
        <v>0</v>
      </c>
      <c r="F532">
        <v>0</v>
      </c>
      <c r="G532" s="1">
        <v>45827</v>
      </c>
      <c r="H532">
        <f t="shared" si="24"/>
        <v>2025</v>
      </c>
      <c r="I532" s="3" t="str">
        <f t="shared" si="25"/>
        <v>Jun-2025</v>
      </c>
      <c r="J532">
        <f t="shared" si="26"/>
        <v>25</v>
      </c>
      <c r="K532" t="s">
        <v>47</v>
      </c>
      <c r="L532" t="s">
        <v>1013</v>
      </c>
    </row>
    <row r="533" spans="1:12" x14ac:dyDescent="0.35">
      <c r="A533" t="s">
        <v>1014</v>
      </c>
      <c r="B533" t="s">
        <v>85</v>
      </c>
      <c r="C533" t="s">
        <v>23</v>
      </c>
      <c r="D533">
        <v>1</v>
      </c>
      <c r="E533">
        <v>246296.88</v>
      </c>
      <c r="F533">
        <v>246296.88</v>
      </c>
      <c r="G533" s="1">
        <v>45833</v>
      </c>
      <c r="H533">
        <f t="shared" si="24"/>
        <v>2025</v>
      </c>
      <c r="I533" s="3" t="str">
        <f t="shared" si="25"/>
        <v>Jun-2025</v>
      </c>
      <c r="J533">
        <f t="shared" si="26"/>
        <v>26</v>
      </c>
      <c r="K533" t="s">
        <v>47</v>
      </c>
      <c r="L533" t="s">
        <v>1015</v>
      </c>
    </row>
    <row r="534" spans="1:12" x14ac:dyDescent="0.35">
      <c r="A534" t="s">
        <v>1016</v>
      </c>
      <c r="B534" t="s">
        <v>58</v>
      </c>
      <c r="C534" t="s">
        <v>17</v>
      </c>
      <c r="D534">
        <v>1</v>
      </c>
      <c r="E534">
        <v>246360.27</v>
      </c>
      <c r="F534">
        <v>246360.27</v>
      </c>
      <c r="G534" s="1">
        <v>45253</v>
      </c>
      <c r="H534">
        <f t="shared" si="24"/>
        <v>2023</v>
      </c>
      <c r="I534" s="3" t="str">
        <f t="shared" si="25"/>
        <v>Nov-2023</v>
      </c>
      <c r="J534">
        <f t="shared" si="26"/>
        <v>47</v>
      </c>
      <c r="K534" t="s">
        <v>28</v>
      </c>
      <c r="L534" t="s">
        <v>1137</v>
      </c>
    </row>
    <row r="535" spans="1:12" x14ac:dyDescent="0.35">
      <c r="A535" t="s">
        <v>1047</v>
      </c>
      <c r="B535" t="s">
        <v>76</v>
      </c>
      <c r="C535" t="s">
        <v>46</v>
      </c>
      <c r="D535">
        <v>1</v>
      </c>
      <c r="E535">
        <v>278698.03999999998</v>
      </c>
      <c r="F535">
        <v>278698.03999999998</v>
      </c>
      <c r="G535" s="1">
        <v>45442</v>
      </c>
      <c r="H535">
        <f t="shared" si="24"/>
        <v>2024</v>
      </c>
      <c r="I535" s="3" t="str">
        <f t="shared" si="25"/>
        <v>May-2024</v>
      </c>
      <c r="J535">
        <f t="shared" si="26"/>
        <v>22</v>
      </c>
      <c r="K535" t="s">
        <v>13</v>
      </c>
      <c r="L535" t="s">
        <v>1017</v>
      </c>
    </row>
    <row r="536" spans="1:12" x14ac:dyDescent="0.35">
      <c r="A536" t="s">
        <v>1018</v>
      </c>
      <c r="B536" t="s">
        <v>45</v>
      </c>
      <c r="C536" t="s">
        <v>46</v>
      </c>
      <c r="D536">
        <v>1</v>
      </c>
      <c r="E536">
        <v>90133.43</v>
      </c>
      <c r="F536">
        <v>90133.43</v>
      </c>
      <c r="G536" s="1">
        <v>45803</v>
      </c>
      <c r="H536">
        <f t="shared" si="24"/>
        <v>2025</v>
      </c>
      <c r="I536" s="3" t="str">
        <f t="shared" si="25"/>
        <v>May-2025</v>
      </c>
      <c r="J536">
        <f t="shared" si="26"/>
        <v>22</v>
      </c>
      <c r="K536" t="s">
        <v>9</v>
      </c>
      <c r="L536" t="s">
        <v>1019</v>
      </c>
    </row>
    <row r="537" spans="1:12" x14ac:dyDescent="0.35">
      <c r="A537" t="s">
        <v>1020</v>
      </c>
      <c r="B537" t="s">
        <v>34</v>
      </c>
      <c r="C537" t="s">
        <v>27</v>
      </c>
      <c r="D537">
        <v>1</v>
      </c>
      <c r="E537">
        <v>169405.48</v>
      </c>
      <c r="F537">
        <v>169405.48</v>
      </c>
      <c r="G537" s="1">
        <v>45768</v>
      </c>
      <c r="H537">
        <f t="shared" si="24"/>
        <v>2025</v>
      </c>
      <c r="I537" s="3" t="str">
        <f t="shared" si="25"/>
        <v>Apr-2025</v>
      </c>
      <c r="J537">
        <f t="shared" si="26"/>
        <v>17</v>
      </c>
      <c r="K537" t="s">
        <v>47</v>
      </c>
      <c r="L537" t="s">
        <v>1021</v>
      </c>
    </row>
    <row r="538" spans="1:12" x14ac:dyDescent="0.35">
      <c r="A538" t="s">
        <v>1022</v>
      </c>
      <c r="B538" t="s">
        <v>20</v>
      </c>
      <c r="C538" t="s">
        <v>12</v>
      </c>
      <c r="D538">
        <v>1</v>
      </c>
      <c r="E538">
        <v>170225.43</v>
      </c>
      <c r="F538">
        <v>170225.43</v>
      </c>
      <c r="G538" s="1">
        <v>45254</v>
      </c>
      <c r="H538">
        <f t="shared" si="24"/>
        <v>2023</v>
      </c>
      <c r="I538" s="3" t="str">
        <f t="shared" si="25"/>
        <v>Nov-2023</v>
      </c>
      <c r="J538">
        <f t="shared" si="26"/>
        <v>47</v>
      </c>
      <c r="K538" t="s">
        <v>28</v>
      </c>
      <c r="L538" t="s">
        <v>1023</v>
      </c>
    </row>
    <row r="539" spans="1:12" x14ac:dyDescent="0.35">
      <c r="A539" t="s">
        <v>1024</v>
      </c>
      <c r="B539" t="s">
        <v>31</v>
      </c>
      <c r="C539" t="s">
        <v>70</v>
      </c>
      <c r="D539">
        <v>16</v>
      </c>
      <c r="E539">
        <v>254908.01</v>
      </c>
      <c r="F539">
        <v>4078528.16</v>
      </c>
      <c r="G539" s="1">
        <v>45843</v>
      </c>
      <c r="H539">
        <f t="shared" si="24"/>
        <v>2025</v>
      </c>
      <c r="I539" s="3" t="str">
        <f t="shared" si="25"/>
        <v>Jul-2025</v>
      </c>
      <c r="J539">
        <f t="shared" si="26"/>
        <v>27</v>
      </c>
      <c r="K539" t="s">
        <v>28</v>
      </c>
      <c r="L539" t="s">
        <v>1025</v>
      </c>
    </row>
    <row r="540" spans="1:12" x14ac:dyDescent="0.35">
      <c r="A540" t="s">
        <v>1026</v>
      </c>
      <c r="B540" t="s">
        <v>76</v>
      </c>
      <c r="C540" t="s">
        <v>17</v>
      </c>
      <c r="D540">
        <v>1</v>
      </c>
      <c r="E540">
        <v>203271.97</v>
      </c>
      <c r="F540">
        <v>203271.97</v>
      </c>
      <c r="G540" s="1">
        <v>45832</v>
      </c>
      <c r="H540">
        <f t="shared" si="24"/>
        <v>2025</v>
      </c>
      <c r="I540" s="3" t="str">
        <f t="shared" si="25"/>
        <v>Jun-2025</v>
      </c>
      <c r="J540">
        <f t="shared" si="26"/>
        <v>26</v>
      </c>
      <c r="K540" t="s">
        <v>9</v>
      </c>
      <c r="L540" t="s">
        <v>1027</v>
      </c>
    </row>
    <row r="541" spans="1:12" x14ac:dyDescent="0.35">
      <c r="A541" t="s">
        <v>1028</v>
      </c>
      <c r="B541" t="s">
        <v>26</v>
      </c>
      <c r="C541" t="s">
        <v>55</v>
      </c>
      <c r="D541">
        <v>1</v>
      </c>
      <c r="E541">
        <v>162398.45000000001</v>
      </c>
      <c r="F541">
        <v>162398.45000000001</v>
      </c>
      <c r="G541" s="1">
        <v>45146</v>
      </c>
      <c r="H541">
        <f t="shared" si="24"/>
        <v>2023</v>
      </c>
      <c r="I541" s="3" t="str">
        <f t="shared" si="25"/>
        <v>Aug-2023</v>
      </c>
      <c r="J541">
        <f t="shared" si="26"/>
        <v>32</v>
      </c>
      <c r="K541" t="s">
        <v>47</v>
      </c>
      <c r="L541" t="s">
        <v>1029</v>
      </c>
    </row>
    <row r="542" spans="1:12" x14ac:dyDescent="0.35">
      <c r="A542" t="s">
        <v>1030</v>
      </c>
      <c r="B542" t="s">
        <v>76</v>
      </c>
      <c r="C542" t="s">
        <v>70</v>
      </c>
      <c r="D542">
        <v>1</v>
      </c>
      <c r="E542">
        <v>0</v>
      </c>
      <c r="F542">
        <v>0</v>
      </c>
      <c r="G542" s="1">
        <v>45767</v>
      </c>
      <c r="H542">
        <f t="shared" si="24"/>
        <v>2025</v>
      </c>
      <c r="I542" s="3" t="str">
        <f t="shared" si="25"/>
        <v>Apr-2025</v>
      </c>
      <c r="J542">
        <f t="shared" si="26"/>
        <v>17</v>
      </c>
      <c r="K542" t="s">
        <v>28</v>
      </c>
      <c r="L542" t="s">
        <v>1031</v>
      </c>
    </row>
    <row r="543" spans="1:12" x14ac:dyDescent="0.35">
      <c r="A543" t="s">
        <v>1032</v>
      </c>
      <c r="B543" t="s">
        <v>58</v>
      </c>
      <c r="C543" t="s">
        <v>12</v>
      </c>
      <c r="D543">
        <v>97</v>
      </c>
      <c r="E543">
        <v>115461.94</v>
      </c>
      <c r="F543">
        <v>11199808.18</v>
      </c>
      <c r="G543" s="1">
        <v>45426</v>
      </c>
      <c r="H543">
        <f t="shared" si="24"/>
        <v>2024</v>
      </c>
      <c r="I543" s="3" t="str">
        <f t="shared" si="25"/>
        <v>May-2024</v>
      </c>
      <c r="J543">
        <f t="shared" si="26"/>
        <v>20</v>
      </c>
      <c r="K543" t="s">
        <v>47</v>
      </c>
      <c r="L543" t="s">
        <v>1033</v>
      </c>
    </row>
    <row r="544" spans="1:12" x14ac:dyDescent="0.35">
      <c r="A544" t="s">
        <v>1034</v>
      </c>
      <c r="B544" t="s">
        <v>34</v>
      </c>
      <c r="C544" t="s">
        <v>70</v>
      </c>
      <c r="D544">
        <v>1</v>
      </c>
      <c r="E544">
        <v>222053.68</v>
      </c>
      <c r="F544">
        <v>222053.68</v>
      </c>
      <c r="G544" s="1">
        <v>45730</v>
      </c>
      <c r="H544">
        <f t="shared" si="24"/>
        <v>2025</v>
      </c>
      <c r="I544" s="3" t="str">
        <f t="shared" si="25"/>
        <v>Mar-2025</v>
      </c>
      <c r="J544">
        <f t="shared" si="26"/>
        <v>11</v>
      </c>
      <c r="K544" t="s">
        <v>9</v>
      </c>
      <c r="L544" t="s">
        <v>1035</v>
      </c>
    </row>
    <row r="545" spans="1:12" x14ac:dyDescent="0.35">
      <c r="A545" t="s">
        <v>1036</v>
      </c>
      <c r="B545" t="s">
        <v>61</v>
      </c>
      <c r="C545" t="s">
        <v>46</v>
      </c>
      <c r="D545">
        <v>1</v>
      </c>
      <c r="E545">
        <v>237254.18</v>
      </c>
      <c r="F545">
        <v>237254.18</v>
      </c>
      <c r="G545" s="1">
        <v>45502</v>
      </c>
      <c r="H545">
        <f t="shared" si="24"/>
        <v>2024</v>
      </c>
      <c r="I545" s="3" t="str">
        <f t="shared" si="25"/>
        <v>Jul-2024</v>
      </c>
      <c r="J545">
        <f t="shared" si="26"/>
        <v>31</v>
      </c>
      <c r="K545" t="s">
        <v>47</v>
      </c>
      <c r="L545" t="s">
        <v>1037</v>
      </c>
    </row>
    <row r="546" spans="1:12" x14ac:dyDescent="0.35">
      <c r="A546" t="s">
        <v>1057</v>
      </c>
      <c r="B546" t="s">
        <v>89</v>
      </c>
      <c r="C546" t="s">
        <v>17</v>
      </c>
      <c r="D546">
        <v>65</v>
      </c>
      <c r="E546">
        <v>206948.51</v>
      </c>
      <c r="F546">
        <v>13451653.15</v>
      </c>
      <c r="G546" s="1">
        <v>45262</v>
      </c>
      <c r="H546">
        <f t="shared" si="24"/>
        <v>2023</v>
      </c>
      <c r="I546" s="3" t="str">
        <f t="shared" si="25"/>
        <v>Dec-2023</v>
      </c>
      <c r="J546">
        <f t="shared" si="26"/>
        <v>48</v>
      </c>
      <c r="K546" t="s">
        <v>9</v>
      </c>
      <c r="L546" t="s">
        <v>1038</v>
      </c>
    </row>
    <row r="547" spans="1:12" x14ac:dyDescent="0.35">
      <c r="A547" t="s">
        <v>1039</v>
      </c>
      <c r="B547" t="s">
        <v>76</v>
      </c>
      <c r="C547" t="s">
        <v>70</v>
      </c>
      <c r="D547">
        <v>6</v>
      </c>
      <c r="E547">
        <v>23989.09</v>
      </c>
      <c r="F547">
        <v>143934.54</v>
      </c>
      <c r="G547" s="1">
        <v>45845</v>
      </c>
      <c r="H547">
        <f t="shared" si="24"/>
        <v>2025</v>
      </c>
      <c r="I547" s="3" t="str">
        <f t="shared" si="25"/>
        <v>Jul-2025</v>
      </c>
      <c r="J547">
        <f t="shared" si="26"/>
        <v>28</v>
      </c>
      <c r="K547" t="s">
        <v>13</v>
      </c>
      <c r="L547" t="s">
        <v>1040</v>
      </c>
    </row>
    <row r="548" spans="1:12" x14ac:dyDescent="0.35">
      <c r="A548" t="s">
        <v>1047</v>
      </c>
      <c r="B548" t="s">
        <v>61</v>
      </c>
      <c r="C548" t="s">
        <v>23</v>
      </c>
      <c r="D548">
        <v>1</v>
      </c>
      <c r="E548">
        <v>223764.24</v>
      </c>
      <c r="F548">
        <v>223764.24</v>
      </c>
      <c r="G548" s="1">
        <v>45699</v>
      </c>
      <c r="H548">
        <f t="shared" si="24"/>
        <v>2025</v>
      </c>
      <c r="I548" s="3" t="str">
        <f t="shared" si="25"/>
        <v>Feb-2025</v>
      </c>
      <c r="J548">
        <f t="shared" si="26"/>
        <v>7</v>
      </c>
      <c r="K548" t="s">
        <v>13</v>
      </c>
      <c r="L548" t="s">
        <v>1138</v>
      </c>
    </row>
    <row r="549" spans="1:12" x14ac:dyDescent="0.35">
      <c r="A549" t="s">
        <v>1041</v>
      </c>
      <c r="B549" t="s">
        <v>58</v>
      </c>
      <c r="C549" t="s">
        <v>90</v>
      </c>
      <c r="D549">
        <v>1</v>
      </c>
      <c r="E549">
        <v>104084.92</v>
      </c>
      <c r="F549">
        <v>104084.92</v>
      </c>
      <c r="G549" s="1">
        <v>45795</v>
      </c>
      <c r="H549">
        <f t="shared" si="24"/>
        <v>2025</v>
      </c>
      <c r="I549" s="3" t="str">
        <f t="shared" si="25"/>
        <v>May-2025</v>
      </c>
      <c r="J549">
        <f t="shared" si="26"/>
        <v>21</v>
      </c>
      <c r="K549" t="s">
        <v>47</v>
      </c>
      <c r="L549" t="s">
        <v>1042</v>
      </c>
    </row>
    <row r="550" spans="1:12" x14ac:dyDescent="0.35">
      <c r="A550" t="s">
        <v>1043</v>
      </c>
      <c r="B550" t="s">
        <v>42</v>
      </c>
      <c r="C550" t="s">
        <v>55</v>
      </c>
      <c r="D550">
        <v>1</v>
      </c>
      <c r="E550">
        <v>29756.89</v>
      </c>
      <c r="F550">
        <v>29756.89</v>
      </c>
      <c r="G550" s="1">
        <v>45837</v>
      </c>
      <c r="H550">
        <f t="shared" si="24"/>
        <v>2025</v>
      </c>
      <c r="I550" s="3" t="str">
        <f t="shared" si="25"/>
        <v>Jun-2025</v>
      </c>
      <c r="J550">
        <f t="shared" si="26"/>
        <v>27</v>
      </c>
      <c r="K550" t="s">
        <v>28</v>
      </c>
      <c r="L550" t="s">
        <v>1044</v>
      </c>
    </row>
    <row r="551" spans="1:12" x14ac:dyDescent="0.35">
      <c r="A551" t="s">
        <v>1045</v>
      </c>
      <c r="B551" t="s">
        <v>34</v>
      </c>
      <c r="C551" t="s">
        <v>27</v>
      </c>
      <c r="D551">
        <v>1</v>
      </c>
      <c r="E551">
        <v>70027.13</v>
      </c>
      <c r="F551">
        <v>70027.13</v>
      </c>
      <c r="G551" s="1">
        <v>45342</v>
      </c>
      <c r="H551">
        <f t="shared" si="24"/>
        <v>2024</v>
      </c>
      <c r="I551" s="3" t="str">
        <f t="shared" si="25"/>
        <v>Feb-2024</v>
      </c>
      <c r="J551">
        <f t="shared" si="26"/>
        <v>8</v>
      </c>
      <c r="K551" t="s">
        <v>47</v>
      </c>
      <c r="L551" t="s">
        <v>1046</v>
      </c>
    </row>
  </sheetData>
  <conditionalFormatting sqref="A1:A1048576">
    <cfRule type="containsText" dxfId="7" priority="1" operator="containsText" text="Unknown Customer">
      <formula>NOT(ISERROR(SEARCH("Unknown Customer",A1)))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EC353-E981-4EFE-85AB-6C47F54B0F0D}">
  <dimension ref="A3:D7"/>
  <sheetViews>
    <sheetView zoomScaleNormal="100" workbookViewId="0">
      <selection activeCell="D3" sqref="D3"/>
    </sheetView>
  </sheetViews>
  <sheetFormatPr defaultRowHeight="14.5" x14ac:dyDescent="0.35"/>
  <cols>
    <col min="1" max="1" width="10.7265625" bestFit="1" customWidth="1"/>
    <col min="2" max="2" width="15.81640625" bestFit="1" customWidth="1"/>
    <col min="3" max="3" width="15.54296875" bestFit="1" customWidth="1"/>
    <col min="4" max="4" width="15.36328125" bestFit="1" customWidth="1"/>
  </cols>
  <sheetData>
    <row r="3" spans="1:4" x14ac:dyDescent="0.35">
      <c r="A3" s="5" t="s">
        <v>1148</v>
      </c>
      <c r="B3" t="s">
        <v>1144</v>
      </c>
      <c r="C3" t="s">
        <v>1145</v>
      </c>
      <c r="D3" t="s">
        <v>1146</v>
      </c>
    </row>
    <row r="4" spans="1:4" x14ac:dyDescent="0.35">
      <c r="A4" s="6" t="s">
        <v>1141</v>
      </c>
      <c r="B4">
        <v>113</v>
      </c>
      <c r="C4" s="7">
        <v>1429</v>
      </c>
      <c r="D4" s="8">
        <v>211235377.45999998</v>
      </c>
    </row>
    <row r="5" spans="1:4" x14ac:dyDescent="0.35">
      <c r="A5" s="6" t="s">
        <v>1142</v>
      </c>
      <c r="B5">
        <v>296</v>
      </c>
      <c r="C5" s="7">
        <v>3762</v>
      </c>
      <c r="D5" s="8">
        <v>515889979.11000025</v>
      </c>
    </row>
    <row r="6" spans="1:4" x14ac:dyDescent="0.35">
      <c r="A6" s="6" t="s">
        <v>1143</v>
      </c>
      <c r="B6">
        <v>141</v>
      </c>
      <c r="C6" s="7">
        <v>2467</v>
      </c>
      <c r="D6" s="8">
        <v>298623216.57000017</v>
      </c>
    </row>
    <row r="7" spans="1:4" x14ac:dyDescent="0.35">
      <c r="A7" s="6" t="s">
        <v>1140</v>
      </c>
      <c r="B7">
        <v>550</v>
      </c>
      <c r="C7" s="7">
        <v>7658</v>
      </c>
      <c r="D7" s="8">
        <v>1025748573.1399999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CC7F4-F4CA-4875-902C-BC470F4CB1D7}">
  <dimension ref="A3:E12"/>
  <sheetViews>
    <sheetView workbookViewId="0">
      <selection activeCell="N9" sqref="N9"/>
    </sheetView>
  </sheetViews>
  <sheetFormatPr defaultRowHeight="14.5" x14ac:dyDescent="0.35"/>
  <cols>
    <col min="1" max="1" width="12.81640625" bestFit="1" customWidth="1"/>
    <col min="2" max="2" width="15.54296875" bestFit="1" customWidth="1"/>
    <col min="3" max="3" width="19.1796875" bestFit="1" customWidth="1"/>
    <col min="4" max="4" width="15.36328125" bestFit="1" customWidth="1"/>
    <col min="5" max="5" width="19.7265625" bestFit="1" customWidth="1"/>
  </cols>
  <sheetData>
    <row r="3" spans="1:5" x14ac:dyDescent="0.35">
      <c r="A3" s="10" t="s">
        <v>1147</v>
      </c>
      <c r="B3" s="3" t="s">
        <v>1145</v>
      </c>
      <c r="C3" t="s">
        <v>1149</v>
      </c>
      <c r="D3" s="3" t="s">
        <v>1146</v>
      </c>
      <c r="E3" s="3" t="s">
        <v>1150</v>
      </c>
    </row>
    <row r="4" spans="1:5" x14ac:dyDescent="0.35">
      <c r="A4" s="6" t="s">
        <v>17</v>
      </c>
      <c r="B4">
        <v>1512</v>
      </c>
      <c r="C4" s="9">
        <v>0.19744058500914077</v>
      </c>
      <c r="D4" s="8">
        <v>215988251.31</v>
      </c>
      <c r="E4" s="9">
        <v>0.21056646527795922</v>
      </c>
    </row>
    <row r="5" spans="1:5" x14ac:dyDescent="0.35">
      <c r="A5" s="6" t="s">
        <v>90</v>
      </c>
      <c r="B5">
        <v>1057</v>
      </c>
      <c r="C5" s="9">
        <v>0.13802559414990859</v>
      </c>
      <c r="D5" s="8">
        <v>179526202.56999996</v>
      </c>
      <c r="E5" s="9">
        <v>0.17501969514852761</v>
      </c>
    </row>
    <row r="6" spans="1:5" x14ac:dyDescent="0.35">
      <c r="A6" s="6" t="s">
        <v>23</v>
      </c>
      <c r="B6">
        <v>1214</v>
      </c>
      <c r="C6" s="9">
        <v>0.15852703055628101</v>
      </c>
      <c r="D6" s="8">
        <v>171223167.47000003</v>
      </c>
      <c r="E6" s="9">
        <v>0.16692508471725706</v>
      </c>
    </row>
    <row r="7" spans="1:5" x14ac:dyDescent="0.35">
      <c r="A7" s="6" t="s">
        <v>12</v>
      </c>
      <c r="B7">
        <v>1090</v>
      </c>
      <c r="C7" s="9">
        <v>0.14233481326717159</v>
      </c>
      <c r="D7" s="8">
        <v>148377806.89999998</v>
      </c>
      <c r="E7" s="9">
        <v>0.14465319356554304</v>
      </c>
    </row>
    <row r="8" spans="1:5" x14ac:dyDescent="0.35">
      <c r="A8" s="6" t="s">
        <v>70</v>
      </c>
      <c r="B8">
        <v>950</v>
      </c>
      <c r="C8" s="9">
        <v>0.12405327761817707</v>
      </c>
      <c r="D8" s="8">
        <v>127383294.41</v>
      </c>
      <c r="E8" s="9">
        <v>0.1241856900858823</v>
      </c>
    </row>
    <row r="9" spans="1:5" x14ac:dyDescent="0.35">
      <c r="A9" s="6" t="s">
        <v>55</v>
      </c>
      <c r="B9">
        <v>753</v>
      </c>
      <c r="C9" s="9">
        <v>9.8328545312091925E-2</v>
      </c>
      <c r="D9" s="8">
        <v>108741873.49999997</v>
      </c>
      <c r="E9" s="9">
        <v>0.10601221034811839</v>
      </c>
    </row>
    <row r="10" spans="1:5" x14ac:dyDescent="0.35">
      <c r="A10" s="6" t="s">
        <v>46</v>
      </c>
      <c r="B10">
        <v>497</v>
      </c>
      <c r="C10" s="9">
        <v>6.4899451553930523E-2</v>
      </c>
      <c r="D10" s="8">
        <v>42400566.890000001</v>
      </c>
      <c r="E10" s="9">
        <v>4.13362182510323E-2</v>
      </c>
    </row>
    <row r="11" spans="1:5" x14ac:dyDescent="0.35">
      <c r="A11" s="6" t="s">
        <v>27</v>
      </c>
      <c r="B11">
        <v>585</v>
      </c>
      <c r="C11" s="9">
        <v>7.6390702533298507E-2</v>
      </c>
      <c r="D11" s="8">
        <v>32107410.089999996</v>
      </c>
      <c r="E11" s="9">
        <v>3.130144260568013E-2</v>
      </c>
    </row>
    <row r="12" spans="1:5" x14ac:dyDescent="0.35">
      <c r="A12" s="6" t="s">
        <v>1140</v>
      </c>
      <c r="B12">
        <v>7658</v>
      </c>
      <c r="C12" s="9">
        <v>1</v>
      </c>
      <c r="D12" s="8">
        <v>1025748573.1399999</v>
      </c>
      <c r="E12" s="9">
        <v>1</v>
      </c>
    </row>
  </sheetData>
  <conditionalFormatting pivot="1" sqref="E4:E11">
    <cfRule type="colorScale" priority="1">
      <colorScale>
        <cfvo type="min"/>
        <cfvo type="max"/>
        <color rgb="FFFFEF9C"/>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2FCF1-2185-4BA5-B014-0324ABD8E6A1}">
  <dimension ref="A3:E24"/>
  <sheetViews>
    <sheetView tabSelected="1" zoomScale="91" zoomScaleNormal="91" workbookViewId="0">
      <selection activeCell="E4" sqref="E4"/>
    </sheetView>
  </sheetViews>
  <sheetFormatPr defaultRowHeight="14.5" x14ac:dyDescent="0.35"/>
  <cols>
    <col min="1" max="1" width="10.7265625" bestFit="1" customWidth="1"/>
    <col min="2" max="2" width="15.81640625" bestFit="1" customWidth="1"/>
    <col min="3" max="3" width="18.36328125" bestFit="1" customWidth="1"/>
    <col min="4" max="4" width="15.26953125" bestFit="1" customWidth="1"/>
    <col min="5" max="5" width="22" bestFit="1" customWidth="1"/>
  </cols>
  <sheetData>
    <row r="3" spans="1:5" x14ac:dyDescent="0.35">
      <c r="A3" s="5" t="s">
        <v>1</v>
      </c>
      <c r="B3" t="s">
        <v>1144</v>
      </c>
      <c r="C3" t="s">
        <v>1151</v>
      </c>
      <c r="D3" s="11" t="s">
        <v>1146</v>
      </c>
      <c r="E3" t="s">
        <v>1152</v>
      </c>
    </row>
    <row r="4" spans="1:5" x14ac:dyDescent="0.35">
      <c r="A4" s="6" t="s">
        <v>37</v>
      </c>
      <c r="B4" s="21">
        <v>33</v>
      </c>
      <c r="C4" s="9">
        <v>0.06</v>
      </c>
      <c r="D4" s="11">
        <v>93172725.060000002</v>
      </c>
      <c r="E4" s="9">
        <v>9.083388220056858E-2</v>
      </c>
    </row>
    <row r="5" spans="1:5" x14ac:dyDescent="0.35">
      <c r="A5" s="6" t="s">
        <v>105</v>
      </c>
      <c r="B5" s="21">
        <v>25</v>
      </c>
      <c r="C5" s="9">
        <v>4.5454545454545456E-2</v>
      </c>
      <c r="D5" s="11">
        <v>85974983.400000006</v>
      </c>
      <c r="E5" s="9">
        <v>8.3816819882883434E-2</v>
      </c>
    </row>
    <row r="6" spans="1:5" x14ac:dyDescent="0.35">
      <c r="A6" s="6" t="s">
        <v>31</v>
      </c>
      <c r="B6" s="21">
        <v>31</v>
      </c>
      <c r="C6" s="9">
        <v>5.6363636363636366E-2</v>
      </c>
      <c r="D6" s="11">
        <v>83713560.029999986</v>
      </c>
      <c r="E6" s="9">
        <v>8.1612163274805097E-2</v>
      </c>
    </row>
    <row r="7" spans="1:5" x14ac:dyDescent="0.35">
      <c r="A7" s="6" t="s">
        <v>20</v>
      </c>
      <c r="B7" s="21">
        <v>39</v>
      </c>
      <c r="C7" s="9">
        <v>7.0909090909090908E-2</v>
      </c>
      <c r="D7" s="11">
        <v>74802611.859999999</v>
      </c>
      <c r="E7" s="9">
        <v>7.2924899745184013E-2</v>
      </c>
    </row>
    <row r="8" spans="1:5" x14ac:dyDescent="0.35">
      <c r="A8" s="6" t="s">
        <v>42</v>
      </c>
      <c r="B8" s="21">
        <v>31</v>
      </c>
      <c r="C8" s="9">
        <v>5.6363636363636366E-2</v>
      </c>
      <c r="D8" s="11">
        <v>68111242.070000008</v>
      </c>
      <c r="E8" s="9">
        <v>6.64014982360632E-2</v>
      </c>
    </row>
    <row r="9" spans="1:5" x14ac:dyDescent="0.35">
      <c r="A9" s="6" t="s">
        <v>34</v>
      </c>
      <c r="B9" s="21">
        <v>38</v>
      </c>
      <c r="C9" s="9">
        <v>6.9090909090909092E-2</v>
      </c>
      <c r="D9" s="11">
        <v>67283287.889999986</v>
      </c>
      <c r="E9" s="9">
        <v>6.5594327549522047E-2</v>
      </c>
    </row>
    <row r="10" spans="1:5" x14ac:dyDescent="0.35">
      <c r="A10" s="6" t="s">
        <v>79</v>
      </c>
      <c r="B10" s="21">
        <v>24</v>
      </c>
      <c r="C10" s="9">
        <v>4.363636363636364E-2</v>
      </c>
      <c r="D10" s="11">
        <v>63152525.570000008</v>
      </c>
      <c r="E10" s="9">
        <v>6.1567256561399698E-2</v>
      </c>
    </row>
    <row r="11" spans="1:5" x14ac:dyDescent="0.35">
      <c r="A11" s="6" t="s">
        <v>85</v>
      </c>
      <c r="B11" s="21">
        <v>24</v>
      </c>
      <c r="C11" s="9">
        <v>4.363636363636364E-2</v>
      </c>
      <c r="D11" s="11">
        <v>61302900.219999984</v>
      </c>
      <c r="E11" s="9">
        <v>5.9764060926100898E-2</v>
      </c>
    </row>
    <row r="12" spans="1:5" x14ac:dyDescent="0.35">
      <c r="A12" s="6" t="s">
        <v>89</v>
      </c>
      <c r="B12" s="21">
        <v>26</v>
      </c>
      <c r="C12" s="9">
        <v>4.7272727272727272E-2</v>
      </c>
      <c r="D12" s="11">
        <v>56474636.869999982</v>
      </c>
      <c r="E12" s="9">
        <v>5.5056997736902563E-2</v>
      </c>
    </row>
    <row r="13" spans="1:5" x14ac:dyDescent="0.35">
      <c r="A13" s="6" t="s">
        <v>109</v>
      </c>
      <c r="B13" s="21">
        <v>21</v>
      </c>
      <c r="C13" s="9">
        <v>3.8181818181818185E-2</v>
      </c>
      <c r="D13" s="11">
        <v>48111688.800000004</v>
      </c>
      <c r="E13" s="9">
        <v>4.6903978284582488E-2</v>
      </c>
    </row>
    <row r="14" spans="1:5" x14ac:dyDescent="0.35">
      <c r="A14" s="6" t="s">
        <v>11</v>
      </c>
      <c r="B14" s="21">
        <v>23</v>
      </c>
      <c r="C14" s="9">
        <v>4.1818181818181817E-2</v>
      </c>
      <c r="D14" s="11">
        <v>47090590.230000012</v>
      </c>
      <c r="E14" s="9">
        <v>4.590851156228988E-2</v>
      </c>
    </row>
    <row r="15" spans="1:5" x14ac:dyDescent="0.35">
      <c r="A15" s="6" t="s">
        <v>61</v>
      </c>
      <c r="B15" s="21">
        <v>25</v>
      </c>
      <c r="C15" s="9">
        <v>4.5454545454545456E-2</v>
      </c>
      <c r="D15" s="11">
        <v>39490269.040000007</v>
      </c>
      <c r="E15" s="9">
        <v>3.8498975357200108E-2</v>
      </c>
    </row>
    <row r="16" spans="1:5" x14ac:dyDescent="0.35">
      <c r="A16" s="6" t="s">
        <v>53</v>
      </c>
      <c r="B16" s="21">
        <v>31</v>
      </c>
      <c r="C16" s="9">
        <v>5.6363636363636366E-2</v>
      </c>
      <c r="D16" s="11">
        <v>37566068.04999999</v>
      </c>
      <c r="E16" s="9">
        <v>3.6623076096517056E-2</v>
      </c>
    </row>
    <row r="17" spans="1:5" x14ac:dyDescent="0.35">
      <c r="A17" s="6" t="s">
        <v>58</v>
      </c>
      <c r="B17" s="21">
        <v>26</v>
      </c>
      <c r="C17" s="9">
        <v>4.7272727272727272E-2</v>
      </c>
      <c r="D17" s="11">
        <v>37214698.920000002</v>
      </c>
      <c r="E17" s="9">
        <v>3.6280527114046252E-2</v>
      </c>
    </row>
    <row r="18" spans="1:5" x14ac:dyDescent="0.35">
      <c r="A18" s="6" t="s">
        <v>45</v>
      </c>
      <c r="B18" s="21">
        <v>29</v>
      </c>
      <c r="C18" s="9">
        <v>5.2727272727272727E-2</v>
      </c>
      <c r="D18" s="11">
        <v>35829042.250000007</v>
      </c>
      <c r="E18" s="9">
        <v>3.4929653511796672E-2</v>
      </c>
    </row>
    <row r="19" spans="1:5" x14ac:dyDescent="0.35">
      <c r="A19" s="6" t="s">
        <v>213</v>
      </c>
      <c r="B19" s="21">
        <v>17</v>
      </c>
      <c r="C19" s="9">
        <v>3.090909090909091E-2</v>
      </c>
      <c r="D19" s="11">
        <v>35351781.560000002</v>
      </c>
      <c r="E19" s="9">
        <v>3.4464373127794747E-2</v>
      </c>
    </row>
    <row r="20" spans="1:5" x14ac:dyDescent="0.35">
      <c r="A20" s="6" t="s">
        <v>26</v>
      </c>
      <c r="B20" s="21">
        <v>25</v>
      </c>
      <c r="C20" s="9">
        <v>4.5454545454545456E-2</v>
      </c>
      <c r="D20" s="11">
        <v>32047965.190000001</v>
      </c>
      <c r="E20" s="9">
        <v>3.1243489905031466E-2</v>
      </c>
    </row>
    <row r="21" spans="1:5" x14ac:dyDescent="0.35">
      <c r="A21" s="6" t="s">
        <v>131</v>
      </c>
      <c r="B21" s="21">
        <v>23</v>
      </c>
      <c r="C21" s="9">
        <v>4.1818181818181817E-2</v>
      </c>
      <c r="D21" s="11">
        <v>24689988.890000001</v>
      </c>
      <c r="E21" s="9">
        <v>2.4070215193592266E-2</v>
      </c>
    </row>
    <row r="22" spans="1:5" x14ac:dyDescent="0.35">
      <c r="A22" s="6" t="s">
        <v>76</v>
      </c>
      <c r="B22" s="21">
        <v>27</v>
      </c>
      <c r="C22" s="9">
        <v>4.9090909090909088E-2</v>
      </c>
      <c r="D22" s="11">
        <v>19484910.819999997</v>
      </c>
      <c r="E22" s="9">
        <v>1.8995796172889823E-2</v>
      </c>
    </row>
    <row r="23" spans="1:5" x14ac:dyDescent="0.35">
      <c r="A23" s="6" t="s">
        <v>16</v>
      </c>
      <c r="B23" s="21">
        <v>32</v>
      </c>
      <c r="C23" s="9">
        <v>5.8181818181818182E-2</v>
      </c>
      <c r="D23" s="11">
        <v>14883096.419999998</v>
      </c>
      <c r="E23" s="9">
        <v>1.4509497560830316E-2</v>
      </c>
    </row>
    <row r="24" spans="1:5" x14ac:dyDescent="0.35">
      <c r="A24" s="6" t="s">
        <v>1140</v>
      </c>
      <c r="B24" s="21">
        <v>550</v>
      </c>
      <c r="C24" s="9">
        <v>1</v>
      </c>
      <c r="D24" s="11">
        <v>1025748573.1399994</v>
      </c>
      <c r="E24" s="9">
        <v>1</v>
      </c>
    </row>
  </sheetData>
  <conditionalFormatting pivot="1" sqref="E4:E23">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7A169-FCA5-4C1B-AC99-C1DFBA51EDF3}">
  <dimension ref="A3:E8"/>
  <sheetViews>
    <sheetView workbookViewId="0">
      <selection activeCell="B24" sqref="B24"/>
    </sheetView>
  </sheetViews>
  <sheetFormatPr defaultRowHeight="14.5" x14ac:dyDescent="0.35"/>
  <cols>
    <col min="1" max="1" width="12.36328125" bestFit="1" customWidth="1"/>
    <col min="2" max="2" width="15.26953125" bestFit="1" customWidth="1"/>
    <col min="3" max="3" width="18.26953125" bestFit="1" customWidth="1"/>
    <col min="4" max="4" width="22" bestFit="1" customWidth="1"/>
    <col min="5" max="5" width="15.81640625" bestFit="1" customWidth="1"/>
  </cols>
  <sheetData>
    <row r="3" spans="1:5" x14ac:dyDescent="0.35">
      <c r="A3" s="5" t="s">
        <v>1139</v>
      </c>
      <c r="B3" t="s">
        <v>1146</v>
      </c>
      <c r="C3" t="s">
        <v>1153</v>
      </c>
      <c r="D3" t="s">
        <v>1152</v>
      </c>
      <c r="E3" t="s">
        <v>1144</v>
      </c>
    </row>
    <row r="4" spans="1:5" x14ac:dyDescent="0.35">
      <c r="A4" s="6" t="s">
        <v>47</v>
      </c>
      <c r="B4" s="11">
        <v>422590743.15000021</v>
      </c>
      <c r="C4" s="7">
        <v>1974723.0988317768</v>
      </c>
      <c r="D4" s="9">
        <v>0.41198277454715287</v>
      </c>
      <c r="E4">
        <v>214</v>
      </c>
    </row>
    <row r="5" spans="1:5" x14ac:dyDescent="0.35">
      <c r="A5" s="6" t="s">
        <v>9</v>
      </c>
      <c r="B5" s="11">
        <v>246164993.86000001</v>
      </c>
      <c r="C5" s="7">
        <v>2437277.1669306932</v>
      </c>
      <c r="D5" s="9">
        <v>0.23998570439775996</v>
      </c>
      <c r="E5">
        <v>101</v>
      </c>
    </row>
    <row r="6" spans="1:5" x14ac:dyDescent="0.35">
      <c r="A6" s="6" t="s">
        <v>28</v>
      </c>
      <c r="B6" s="11">
        <v>178988154.71999997</v>
      </c>
      <c r="C6" s="7">
        <v>1443452.860645161</v>
      </c>
      <c r="D6" s="9">
        <v>0.17449515349759176</v>
      </c>
      <c r="E6">
        <v>124</v>
      </c>
    </row>
    <row r="7" spans="1:5" x14ac:dyDescent="0.35">
      <c r="A7" s="6" t="s">
        <v>13</v>
      </c>
      <c r="B7" s="11">
        <v>178004681.41000003</v>
      </c>
      <c r="C7" s="7">
        <v>1603645.7784684687</v>
      </c>
      <c r="D7" s="9">
        <v>0.17353636755749599</v>
      </c>
      <c r="E7">
        <v>111</v>
      </c>
    </row>
    <row r="8" spans="1:5" x14ac:dyDescent="0.35">
      <c r="A8" s="6" t="s">
        <v>1140</v>
      </c>
      <c r="B8">
        <v>1025748573.1399996</v>
      </c>
      <c r="C8" s="7">
        <v>1864997.4057090902</v>
      </c>
      <c r="D8" s="9">
        <v>1</v>
      </c>
      <c r="E8">
        <v>550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AF14F-E4AA-4764-9C69-8B07D9DABF3B}">
  <dimension ref="A1:B9"/>
  <sheetViews>
    <sheetView workbookViewId="0">
      <selection activeCell="B3" sqref="B3"/>
    </sheetView>
  </sheetViews>
  <sheetFormatPr defaultRowHeight="14.5" x14ac:dyDescent="0.35"/>
  <cols>
    <col min="1" max="1" width="18.08984375" bestFit="1" customWidth="1"/>
    <col min="2" max="2" width="19.08984375" bestFit="1" customWidth="1"/>
    <col min="5" max="5" width="10.81640625" bestFit="1" customWidth="1"/>
  </cols>
  <sheetData>
    <row r="1" spans="1:2" ht="18.5" x14ac:dyDescent="0.45">
      <c r="A1" s="17" t="s">
        <v>1159</v>
      </c>
      <c r="B1" s="18" t="s">
        <v>1160</v>
      </c>
    </row>
    <row r="2" spans="1:2" ht="18.5" x14ac:dyDescent="0.45">
      <c r="A2" s="13" t="s">
        <v>1154</v>
      </c>
      <c r="B2" s="14">
        <f>GETPIVOTDATA("Sum of Total Sale",Daily_Sales_MIS!$D$3)</f>
        <v>1025748573.1399999</v>
      </c>
    </row>
    <row r="3" spans="1:2" ht="18.5" x14ac:dyDescent="0.45">
      <c r="A3" s="13" t="s">
        <v>1155</v>
      </c>
      <c r="B3" s="12">
        <f>GETPIVOTDATA("Count of Order ID",Daily_Sales_MIS!$B$3)</f>
        <v>550</v>
      </c>
    </row>
    <row r="4" spans="1:2" ht="18.5" x14ac:dyDescent="0.45">
      <c r="A4" s="13" t="s">
        <v>1156</v>
      </c>
      <c r="B4" s="15">
        <f>IF(B3=0,0,B2/B3)</f>
        <v>1864997.4057090906</v>
      </c>
    </row>
    <row r="5" spans="1:2" ht="18.5" x14ac:dyDescent="0.45">
      <c r="A5" s="13" t="s">
        <v>1157</v>
      </c>
      <c r="B5" s="12" t="str">
        <f>_xlfn.XLOOKUP(MAX(Product_MIS!$D$3:$D$11),Product_MIS!$D$3:$D$11,Product_MIS!$A$3:$A$11)</f>
        <v>Keyboard</v>
      </c>
    </row>
    <row r="6" spans="1:2" ht="18.5" x14ac:dyDescent="0.45">
      <c r="A6" s="13" t="s">
        <v>1158</v>
      </c>
      <c r="B6" s="12" t="str">
        <f>_xlfn.XLOOKUP(MAX(State_MIS!B1:B23),State_MIS!B1:B23,State_MIS!A1:A23)</f>
        <v>Delta</v>
      </c>
    </row>
    <row r="7" spans="1:2" x14ac:dyDescent="0.35">
      <c r="B7" s="3"/>
    </row>
    <row r="9" spans="1:2" x14ac:dyDescent="0.35">
      <c r="B9"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5635B-170E-4EDB-820E-068FBBC23173}">
  <dimension ref="A1:Q551"/>
  <sheetViews>
    <sheetView topLeftCell="I1" zoomScale="90" zoomScaleNormal="90" workbookViewId="0">
      <selection activeCell="P11" sqref="P11"/>
    </sheetView>
  </sheetViews>
  <sheetFormatPr defaultRowHeight="14.5" x14ac:dyDescent="0.35"/>
  <cols>
    <col min="1" max="1" width="21.08984375" bestFit="1" customWidth="1"/>
    <col min="2" max="2" width="10.81640625" bestFit="1" customWidth="1"/>
    <col min="3" max="3" width="13.36328125" bestFit="1" customWidth="1"/>
    <col min="4" max="4" width="15.26953125" bestFit="1" customWidth="1"/>
    <col min="5" max="6" width="14.90625" bestFit="1" customWidth="1"/>
    <col min="7" max="7" width="14.6328125" bestFit="1" customWidth="1"/>
    <col min="8" max="8" width="37.26953125" bestFit="1" customWidth="1"/>
    <col min="9" max="9" width="20.6328125" bestFit="1" customWidth="1"/>
    <col min="10" max="11" width="24.08984375" bestFit="1" customWidth="1"/>
    <col min="12" max="12" width="16.453125" bestFit="1" customWidth="1"/>
    <col min="13" max="13" width="16.6328125" bestFit="1" customWidth="1"/>
    <col min="14" max="14" width="22.54296875" bestFit="1" customWidth="1"/>
    <col min="16" max="16" width="16.26953125" bestFit="1" customWidth="1"/>
  </cols>
  <sheetData>
    <row r="1" spans="1:17" ht="15.5" x14ac:dyDescent="0.35">
      <c r="A1" s="4" t="s">
        <v>0</v>
      </c>
      <c r="B1" s="4" t="s">
        <v>1</v>
      </c>
      <c r="C1" s="4" t="s">
        <v>2</v>
      </c>
      <c r="D1" s="4" t="s">
        <v>3</v>
      </c>
      <c r="E1" s="4" t="s">
        <v>4</v>
      </c>
      <c r="F1" s="4" t="s">
        <v>5</v>
      </c>
      <c r="G1" s="4" t="s">
        <v>6</v>
      </c>
      <c r="H1" s="4" t="s">
        <v>8</v>
      </c>
      <c r="I1" s="16" t="s">
        <v>1163</v>
      </c>
      <c r="J1" s="16" t="s">
        <v>1164</v>
      </c>
      <c r="K1" s="16" t="s">
        <v>1165</v>
      </c>
      <c r="L1" s="16" t="s">
        <v>1161</v>
      </c>
      <c r="M1" s="16" t="s">
        <v>1166</v>
      </c>
      <c r="N1" s="16" t="s">
        <v>1162</v>
      </c>
    </row>
    <row r="2" spans="1:17" ht="15.5" x14ac:dyDescent="0.35">
      <c r="A2" t="s">
        <v>1047</v>
      </c>
      <c r="B2" t="s">
        <v>31</v>
      </c>
      <c r="C2" t="s">
        <v>17</v>
      </c>
      <c r="D2">
        <v>1</v>
      </c>
      <c r="E2">
        <v>0</v>
      </c>
      <c r="F2">
        <v>0</v>
      </c>
      <c r="G2" s="1">
        <v>45774</v>
      </c>
      <c r="H2" t="s">
        <v>1099</v>
      </c>
      <c r="I2" t="str">
        <f>IF(E2=0,"Check Price","OK")</f>
        <v>Check Price</v>
      </c>
      <c r="J2" t="str">
        <f>IF(F2=0,"Zero Sale","OK")</f>
        <v>Zero Sale</v>
      </c>
      <c r="K2" t="str">
        <f>IF(COUNTIF($H:$H,H2)&gt;1,"Duplicate","Unique")</f>
        <v>Unique</v>
      </c>
      <c r="L2" t="str">
        <f>IF(G2="","Missing Date","OK")</f>
        <v>OK</v>
      </c>
      <c r="M2" t="str">
        <f>IF(COUNTIF(I2:J2,"&lt;&gt;OK")&gt;0,"EXCEPTION","CLEAN")</f>
        <v>EXCEPTION</v>
      </c>
      <c r="N2" t="str">
        <f>_xlfn.TEXTJOIN(", ",TRUE,
IF(I2&lt;&gt;"OK","Price Issue",""),
IF(J2&lt;&gt;"OK","Zero Sale",""),
IF(K2&lt;&gt;"Unique","Duplicate Order",""),
IF(L2&lt;&gt;"OK","Missing Date","")
)</f>
        <v>Price Issue, Zero Sale</v>
      </c>
      <c r="P2" s="20" t="s">
        <v>1167</v>
      </c>
      <c r="Q2" s="20">
        <f>COUNTA(A:A)-1</f>
        <v>550</v>
      </c>
    </row>
    <row r="3" spans="1:17" x14ac:dyDescent="0.35">
      <c r="A3" t="s">
        <v>10</v>
      </c>
      <c r="B3" t="s">
        <v>11</v>
      </c>
      <c r="C3" t="s">
        <v>12</v>
      </c>
      <c r="D3">
        <v>1</v>
      </c>
      <c r="E3">
        <v>267992.94</v>
      </c>
      <c r="F3">
        <v>267992.94</v>
      </c>
      <c r="G3" s="1">
        <v>45366</v>
      </c>
      <c r="H3" t="s">
        <v>14</v>
      </c>
      <c r="I3" t="str">
        <f t="shared" ref="I3:I66" si="0">IF(E3=0,"Check Price","OK")</f>
        <v>OK</v>
      </c>
      <c r="J3" t="str">
        <f t="shared" ref="J3:J66" si="1">IF(F3=0,"Zero Sale","OK")</f>
        <v>OK</v>
      </c>
      <c r="K3" t="str">
        <f t="shared" ref="K3:K66" si="2">IF(COUNTIF($H:$H,H3)&gt;1,"Duplicate","Unique")</f>
        <v>Unique</v>
      </c>
      <c r="L3" t="str">
        <f t="shared" ref="L3:L66" si="3">IF(G3="","Missing Date","OK")</f>
        <v>OK</v>
      </c>
      <c r="M3" t="str">
        <f t="shared" ref="M3:M66" si="4">IF(COUNTIF(I3:J3,"&lt;&gt;OK")&gt;0,"EXCEPTION","CLEAN")</f>
        <v>CLEAN</v>
      </c>
      <c r="N3" t="str">
        <f t="shared" ref="N3:N65" si="5">_xlfn.TEXTJOIN(", ",TRUE,
IF(I3&lt;&gt;"OK","Price Issue",""),
IF(J3&lt;&gt;"OK","Zero Sale",""),
IF(K3&lt;&gt;"Unique","Duplicate Order",""),
IF(L3&lt;&gt;"OK","Missing Date","")
)</f>
        <v/>
      </c>
    </row>
    <row r="4" spans="1:17" ht="15.5" x14ac:dyDescent="0.35">
      <c r="A4" t="s">
        <v>15</v>
      </c>
      <c r="B4" t="s">
        <v>16</v>
      </c>
      <c r="C4" t="s">
        <v>17</v>
      </c>
      <c r="D4">
        <v>1</v>
      </c>
      <c r="E4">
        <v>42364.41</v>
      </c>
      <c r="F4">
        <v>42364.41</v>
      </c>
      <c r="G4" s="1">
        <v>45636</v>
      </c>
      <c r="H4" t="s">
        <v>18</v>
      </c>
      <c r="I4" t="str">
        <f t="shared" si="0"/>
        <v>OK</v>
      </c>
      <c r="J4" t="str">
        <f t="shared" si="1"/>
        <v>OK</v>
      </c>
      <c r="K4" t="str">
        <f t="shared" si="2"/>
        <v>Unique</v>
      </c>
      <c r="L4" t="str">
        <f t="shared" si="3"/>
        <v>OK</v>
      </c>
      <c r="M4" t="str">
        <f t="shared" si="4"/>
        <v>CLEAN</v>
      </c>
      <c r="N4" t="str">
        <f t="shared" si="5"/>
        <v/>
      </c>
      <c r="P4" s="19" t="s">
        <v>1168</v>
      </c>
      <c r="Q4" s="19">
        <f>COUNTIF(M:M,"Exception")</f>
        <v>55</v>
      </c>
    </row>
    <row r="5" spans="1:17" x14ac:dyDescent="0.35">
      <c r="A5" t="s">
        <v>19</v>
      </c>
      <c r="B5" t="s">
        <v>20</v>
      </c>
      <c r="C5" t="s">
        <v>17</v>
      </c>
      <c r="D5">
        <v>1</v>
      </c>
      <c r="E5">
        <v>279444.94</v>
      </c>
      <c r="F5">
        <v>279444.94</v>
      </c>
      <c r="G5" s="1">
        <v>45387</v>
      </c>
      <c r="H5" t="s">
        <v>21</v>
      </c>
      <c r="I5" t="str">
        <f t="shared" si="0"/>
        <v>OK</v>
      </c>
      <c r="J5" t="str">
        <f t="shared" si="1"/>
        <v>OK</v>
      </c>
      <c r="K5" t="str">
        <f t="shared" si="2"/>
        <v>Unique</v>
      </c>
      <c r="L5" t="str">
        <f t="shared" si="3"/>
        <v>OK</v>
      </c>
      <c r="M5" t="str">
        <f t="shared" si="4"/>
        <v>CLEAN</v>
      </c>
      <c r="N5" t="str">
        <f t="shared" si="5"/>
        <v/>
      </c>
    </row>
    <row r="6" spans="1:17" x14ac:dyDescent="0.35">
      <c r="A6" t="s">
        <v>22</v>
      </c>
      <c r="B6" t="s">
        <v>20</v>
      </c>
      <c r="C6" t="s">
        <v>23</v>
      </c>
      <c r="D6">
        <v>1</v>
      </c>
      <c r="E6">
        <v>95899.74</v>
      </c>
      <c r="F6">
        <v>95899.74</v>
      </c>
      <c r="G6" s="1">
        <v>45669</v>
      </c>
      <c r="H6" t="s">
        <v>24</v>
      </c>
      <c r="I6" t="str">
        <f t="shared" si="0"/>
        <v>OK</v>
      </c>
      <c r="J6" t="str">
        <f t="shared" si="1"/>
        <v>OK</v>
      </c>
      <c r="K6" t="str">
        <f t="shared" si="2"/>
        <v>Unique</v>
      </c>
      <c r="L6" t="str">
        <f t="shared" si="3"/>
        <v>OK</v>
      </c>
      <c r="M6" t="str">
        <f t="shared" si="4"/>
        <v>CLEAN</v>
      </c>
      <c r="N6" t="str">
        <f t="shared" si="5"/>
        <v/>
      </c>
    </row>
    <row r="7" spans="1:17" x14ac:dyDescent="0.35">
      <c r="A7" t="s">
        <v>25</v>
      </c>
      <c r="B7" t="s">
        <v>26</v>
      </c>
      <c r="C7" t="s">
        <v>27</v>
      </c>
      <c r="D7">
        <v>1</v>
      </c>
      <c r="E7">
        <v>118189.9</v>
      </c>
      <c r="F7">
        <v>118189.9</v>
      </c>
      <c r="G7" s="1">
        <v>45168</v>
      </c>
      <c r="H7" t="s">
        <v>29</v>
      </c>
      <c r="I7" t="str">
        <f t="shared" si="0"/>
        <v>OK</v>
      </c>
      <c r="J7" t="str">
        <f t="shared" si="1"/>
        <v>OK</v>
      </c>
      <c r="K7" t="str">
        <f t="shared" si="2"/>
        <v>Unique</v>
      </c>
      <c r="L7" t="str">
        <f t="shared" si="3"/>
        <v>OK</v>
      </c>
      <c r="M7" t="str">
        <f t="shared" si="4"/>
        <v>CLEAN</v>
      </c>
      <c r="N7" t="str">
        <f t="shared" si="5"/>
        <v/>
      </c>
    </row>
    <row r="8" spans="1:17" x14ac:dyDescent="0.35">
      <c r="A8" t="s">
        <v>30</v>
      </c>
      <c r="B8" t="s">
        <v>31</v>
      </c>
      <c r="C8" t="s">
        <v>23</v>
      </c>
      <c r="D8">
        <v>36</v>
      </c>
      <c r="E8">
        <v>185141.9</v>
      </c>
      <c r="F8">
        <v>6665108.3999999994</v>
      </c>
      <c r="G8" s="1">
        <v>45545</v>
      </c>
      <c r="H8" t="s">
        <v>32</v>
      </c>
      <c r="I8" t="str">
        <f t="shared" si="0"/>
        <v>OK</v>
      </c>
      <c r="J8" t="str">
        <f t="shared" si="1"/>
        <v>OK</v>
      </c>
      <c r="K8" t="str">
        <f t="shared" si="2"/>
        <v>Unique</v>
      </c>
      <c r="L8" t="str">
        <f t="shared" si="3"/>
        <v>OK</v>
      </c>
      <c r="M8" t="str">
        <f t="shared" si="4"/>
        <v>CLEAN</v>
      </c>
      <c r="N8" t="str">
        <f t="shared" si="5"/>
        <v/>
      </c>
    </row>
    <row r="9" spans="1:17" x14ac:dyDescent="0.35">
      <c r="A9" t="s">
        <v>33</v>
      </c>
      <c r="B9" t="s">
        <v>34</v>
      </c>
      <c r="C9" t="s">
        <v>17</v>
      </c>
      <c r="D9">
        <v>1</v>
      </c>
      <c r="E9">
        <v>252859.28</v>
      </c>
      <c r="F9">
        <v>252859.28</v>
      </c>
      <c r="G9" s="1">
        <v>45539</v>
      </c>
      <c r="H9" t="s">
        <v>35</v>
      </c>
      <c r="I9" t="str">
        <f t="shared" si="0"/>
        <v>OK</v>
      </c>
      <c r="J9" t="str">
        <f t="shared" si="1"/>
        <v>OK</v>
      </c>
      <c r="K9" t="str">
        <f t="shared" si="2"/>
        <v>Unique</v>
      </c>
      <c r="L9" t="str">
        <f t="shared" si="3"/>
        <v>OK</v>
      </c>
      <c r="M9" t="str">
        <f t="shared" si="4"/>
        <v>CLEAN</v>
      </c>
      <c r="N9" t="str">
        <f t="shared" si="5"/>
        <v/>
      </c>
    </row>
    <row r="10" spans="1:17" x14ac:dyDescent="0.35">
      <c r="A10" t="s">
        <v>36</v>
      </c>
      <c r="B10" t="s">
        <v>37</v>
      </c>
      <c r="C10" t="s">
        <v>27</v>
      </c>
      <c r="D10">
        <v>1</v>
      </c>
      <c r="E10">
        <v>178320.53</v>
      </c>
      <c r="F10">
        <v>178320.53</v>
      </c>
      <c r="G10" s="1">
        <v>45343</v>
      </c>
      <c r="H10" t="s">
        <v>38</v>
      </c>
      <c r="I10" t="str">
        <f t="shared" si="0"/>
        <v>OK</v>
      </c>
      <c r="J10" t="str">
        <f t="shared" si="1"/>
        <v>OK</v>
      </c>
      <c r="K10" t="str">
        <f t="shared" si="2"/>
        <v>Unique</v>
      </c>
      <c r="L10" t="str">
        <f t="shared" si="3"/>
        <v>OK</v>
      </c>
      <c r="M10" t="str">
        <f t="shared" si="4"/>
        <v>CLEAN</v>
      </c>
      <c r="N10" t="str">
        <f t="shared" si="5"/>
        <v/>
      </c>
    </row>
    <row r="11" spans="1:17" x14ac:dyDescent="0.35">
      <c r="A11" t="s">
        <v>39</v>
      </c>
      <c r="B11" t="s">
        <v>79</v>
      </c>
      <c r="C11" t="s">
        <v>23</v>
      </c>
      <c r="D11">
        <v>1</v>
      </c>
      <c r="E11">
        <v>152440.84</v>
      </c>
      <c r="F11">
        <v>152440.84</v>
      </c>
      <c r="G11" s="1">
        <v>45810</v>
      </c>
      <c r="H11" t="s">
        <v>40</v>
      </c>
      <c r="I11" t="str">
        <f t="shared" si="0"/>
        <v>OK</v>
      </c>
      <c r="J11" t="str">
        <f t="shared" si="1"/>
        <v>OK</v>
      </c>
      <c r="K11" t="str">
        <f t="shared" si="2"/>
        <v>Unique</v>
      </c>
      <c r="L11" t="str">
        <f t="shared" si="3"/>
        <v>OK</v>
      </c>
      <c r="M11" t="str">
        <f t="shared" si="4"/>
        <v>CLEAN</v>
      </c>
      <c r="N11" t="str">
        <f t="shared" si="5"/>
        <v/>
      </c>
    </row>
    <row r="12" spans="1:17" x14ac:dyDescent="0.35">
      <c r="A12" t="s">
        <v>41</v>
      </c>
      <c r="B12" t="s">
        <v>42</v>
      </c>
      <c r="C12" t="s">
        <v>17</v>
      </c>
      <c r="D12">
        <v>1</v>
      </c>
      <c r="E12">
        <v>0</v>
      </c>
      <c r="F12">
        <v>0</v>
      </c>
      <c r="G12" s="1">
        <v>45350</v>
      </c>
      <c r="H12" t="s">
        <v>43</v>
      </c>
      <c r="I12" t="str">
        <f t="shared" si="0"/>
        <v>Check Price</v>
      </c>
      <c r="J12" t="str">
        <f t="shared" si="1"/>
        <v>Zero Sale</v>
      </c>
      <c r="K12" t="str">
        <f t="shared" si="2"/>
        <v>Unique</v>
      </c>
      <c r="L12" t="str">
        <f t="shared" si="3"/>
        <v>OK</v>
      </c>
      <c r="M12" t="str">
        <f t="shared" si="4"/>
        <v>EXCEPTION</v>
      </c>
      <c r="N12" t="str">
        <f t="shared" si="5"/>
        <v>Price Issue, Zero Sale</v>
      </c>
    </row>
    <row r="13" spans="1:17" x14ac:dyDescent="0.35">
      <c r="A13" t="s">
        <v>44</v>
      </c>
      <c r="B13" t="s">
        <v>45</v>
      </c>
      <c r="C13" t="s">
        <v>46</v>
      </c>
      <c r="D13">
        <v>3</v>
      </c>
      <c r="E13">
        <v>153159.37</v>
      </c>
      <c r="F13">
        <v>459478.11</v>
      </c>
      <c r="G13" s="1">
        <v>45779</v>
      </c>
      <c r="H13" t="s">
        <v>48</v>
      </c>
      <c r="I13" t="str">
        <f t="shared" si="0"/>
        <v>OK</v>
      </c>
      <c r="J13" t="str">
        <f t="shared" si="1"/>
        <v>OK</v>
      </c>
      <c r="K13" t="str">
        <f t="shared" si="2"/>
        <v>Unique</v>
      </c>
      <c r="L13" t="str">
        <f t="shared" si="3"/>
        <v>OK</v>
      </c>
      <c r="M13" t="str">
        <f t="shared" si="4"/>
        <v>CLEAN</v>
      </c>
      <c r="N13" t="str">
        <f t="shared" si="5"/>
        <v/>
      </c>
    </row>
    <row r="14" spans="1:17" x14ac:dyDescent="0.35">
      <c r="A14" t="s">
        <v>49</v>
      </c>
      <c r="B14" t="s">
        <v>11</v>
      </c>
      <c r="C14" t="s">
        <v>23</v>
      </c>
      <c r="D14">
        <v>43</v>
      </c>
      <c r="E14">
        <v>147209.07</v>
      </c>
      <c r="F14">
        <v>6329990.0100000007</v>
      </c>
      <c r="G14" s="1">
        <v>45240</v>
      </c>
      <c r="H14" t="s">
        <v>50</v>
      </c>
      <c r="I14" t="str">
        <f t="shared" si="0"/>
        <v>OK</v>
      </c>
      <c r="J14" t="str">
        <f t="shared" si="1"/>
        <v>OK</v>
      </c>
      <c r="K14" t="str">
        <f t="shared" si="2"/>
        <v>Unique</v>
      </c>
      <c r="L14" t="str">
        <f t="shared" si="3"/>
        <v>OK</v>
      </c>
      <c r="M14" t="str">
        <f t="shared" si="4"/>
        <v>CLEAN</v>
      </c>
      <c r="N14" t="str">
        <f t="shared" si="5"/>
        <v/>
      </c>
    </row>
    <row r="15" spans="1:17" x14ac:dyDescent="0.35">
      <c r="A15" t="s">
        <v>1047</v>
      </c>
      <c r="B15" t="s">
        <v>37</v>
      </c>
      <c r="C15" t="s">
        <v>27</v>
      </c>
      <c r="D15">
        <v>1</v>
      </c>
      <c r="E15">
        <v>169095.82</v>
      </c>
      <c r="F15">
        <v>169095.82</v>
      </c>
      <c r="G15" s="1">
        <v>45670</v>
      </c>
      <c r="H15" t="s">
        <v>51</v>
      </c>
      <c r="I15" t="str">
        <f t="shared" si="0"/>
        <v>OK</v>
      </c>
      <c r="J15" t="str">
        <f t="shared" si="1"/>
        <v>OK</v>
      </c>
      <c r="K15" t="str">
        <f t="shared" si="2"/>
        <v>Unique</v>
      </c>
      <c r="L15" t="str">
        <f t="shared" si="3"/>
        <v>OK</v>
      </c>
      <c r="M15" t="str">
        <f t="shared" si="4"/>
        <v>CLEAN</v>
      </c>
      <c r="N15" t="str">
        <f t="shared" si="5"/>
        <v/>
      </c>
    </row>
    <row r="16" spans="1:17" x14ac:dyDescent="0.35">
      <c r="A16" t="s">
        <v>52</v>
      </c>
      <c r="B16" t="s">
        <v>53</v>
      </c>
      <c r="C16" t="s">
        <v>23</v>
      </c>
      <c r="D16">
        <v>27</v>
      </c>
      <c r="E16">
        <v>142730.32999999999</v>
      </c>
      <c r="F16">
        <v>3853718.9099999997</v>
      </c>
      <c r="G16" s="1">
        <v>45669</v>
      </c>
      <c r="H16" t="s">
        <v>1100</v>
      </c>
      <c r="I16" t="str">
        <f t="shared" si="0"/>
        <v>OK</v>
      </c>
      <c r="J16" t="str">
        <f t="shared" si="1"/>
        <v>OK</v>
      </c>
      <c r="K16" t="str">
        <f t="shared" si="2"/>
        <v>Unique</v>
      </c>
      <c r="L16" t="str">
        <f t="shared" si="3"/>
        <v>OK</v>
      </c>
      <c r="M16" t="str">
        <f t="shared" si="4"/>
        <v>CLEAN</v>
      </c>
      <c r="N16" t="str">
        <f t="shared" si="5"/>
        <v/>
      </c>
    </row>
    <row r="17" spans="1:14" x14ac:dyDescent="0.35">
      <c r="A17" t="s">
        <v>54</v>
      </c>
      <c r="B17" t="s">
        <v>20</v>
      </c>
      <c r="C17" t="s">
        <v>55</v>
      </c>
      <c r="D17">
        <v>1</v>
      </c>
      <c r="E17">
        <v>5482.77</v>
      </c>
      <c r="F17">
        <v>5482.77</v>
      </c>
      <c r="G17" s="1">
        <v>45838</v>
      </c>
      <c r="H17" t="s">
        <v>56</v>
      </c>
      <c r="I17" t="str">
        <f t="shared" si="0"/>
        <v>OK</v>
      </c>
      <c r="J17" t="str">
        <f t="shared" si="1"/>
        <v>OK</v>
      </c>
      <c r="K17" t="str">
        <f t="shared" si="2"/>
        <v>Unique</v>
      </c>
      <c r="L17" t="str">
        <f t="shared" si="3"/>
        <v>OK</v>
      </c>
      <c r="M17" t="str">
        <f t="shared" si="4"/>
        <v>CLEAN</v>
      </c>
      <c r="N17" t="str">
        <f t="shared" si="5"/>
        <v/>
      </c>
    </row>
    <row r="18" spans="1:14" x14ac:dyDescent="0.35">
      <c r="A18" t="s">
        <v>57</v>
      </c>
      <c r="B18" t="s">
        <v>58</v>
      </c>
      <c r="C18" t="s">
        <v>55</v>
      </c>
      <c r="D18">
        <v>1</v>
      </c>
      <c r="E18">
        <v>99706.26</v>
      </c>
      <c r="F18">
        <v>99706.26</v>
      </c>
      <c r="G18" s="1">
        <v>45661</v>
      </c>
      <c r="H18" t="s">
        <v>59</v>
      </c>
      <c r="I18" t="str">
        <f t="shared" si="0"/>
        <v>OK</v>
      </c>
      <c r="J18" t="str">
        <f t="shared" si="1"/>
        <v>OK</v>
      </c>
      <c r="K18" t="str">
        <f t="shared" si="2"/>
        <v>Unique</v>
      </c>
      <c r="L18" t="str">
        <f t="shared" si="3"/>
        <v>OK</v>
      </c>
      <c r="M18" t="str">
        <f t="shared" si="4"/>
        <v>CLEAN</v>
      </c>
      <c r="N18" t="str">
        <f t="shared" si="5"/>
        <v/>
      </c>
    </row>
    <row r="19" spans="1:14" x14ac:dyDescent="0.35">
      <c r="A19" t="s">
        <v>60</v>
      </c>
      <c r="B19" t="s">
        <v>61</v>
      </c>
      <c r="C19" t="s">
        <v>46</v>
      </c>
      <c r="D19">
        <v>28</v>
      </c>
      <c r="E19">
        <v>33326.57</v>
      </c>
      <c r="F19">
        <v>933143.96</v>
      </c>
      <c r="G19" s="1">
        <v>45613</v>
      </c>
      <c r="H19" t="s">
        <v>62</v>
      </c>
      <c r="I19" t="str">
        <f t="shared" si="0"/>
        <v>OK</v>
      </c>
      <c r="J19" t="str">
        <f t="shared" si="1"/>
        <v>OK</v>
      </c>
      <c r="K19" t="str">
        <f t="shared" si="2"/>
        <v>Unique</v>
      </c>
      <c r="L19" t="str">
        <f t="shared" si="3"/>
        <v>OK</v>
      </c>
      <c r="M19" t="str">
        <f t="shared" si="4"/>
        <v>CLEAN</v>
      </c>
      <c r="N19" t="str">
        <f t="shared" si="5"/>
        <v/>
      </c>
    </row>
    <row r="20" spans="1:14" x14ac:dyDescent="0.35">
      <c r="A20" t="s">
        <v>63</v>
      </c>
      <c r="B20" t="s">
        <v>11</v>
      </c>
      <c r="C20" t="s">
        <v>12</v>
      </c>
      <c r="D20">
        <v>43</v>
      </c>
      <c r="E20">
        <v>125253.81</v>
      </c>
      <c r="F20">
        <v>5385913.8300000001</v>
      </c>
      <c r="G20" s="1">
        <v>45253</v>
      </c>
      <c r="H20" t="s">
        <v>64</v>
      </c>
      <c r="I20" t="str">
        <f t="shared" si="0"/>
        <v>OK</v>
      </c>
      <c r="J20" t="str">
        <f t="shared" si="1"/>
        <v>OK</v>
      </c>
      <c r="K20" t="str">
        <f t="shared" si="2"/>
        <v>Unique</v>
      </c>
      <c r="L20" t="str">
        <f t="shared" si="3"/>
        <v>OK</v>
      </c>
      <c r="M20" t="str">
        <f t="shared" si="4"/>
        <v>CLEAN</v>
      </c>
      <c r="N20" t="str">
        <f t="shared" si="5"/>
        <v/>
      </c>
    </row>
    <row r="21" spans="1:14" x14ac:dyDescent="0.35">
      <c r="A21" t="s">
        <v>65</v>
      </c>
      <c r="B21" t="s">
        <v>34</v>
      </c>
      <c r="C21" t="s">
        <v>12</v>
      </c>
      <c r="D21">
        <v>77</v>
      </c>
      <c r="E21">
        <v>92649.51</v>
      </c>
      <c r="F21">
        <v>7134012.2699999996</v>
      </c>
      <c r="G21" s="1">
        <v>45734</v>
      </c>
      <c r="H21" t="s">
        <v>66</v>
      </c>
      <c r="I21" t="str">
        <f t="shared" si="0"/>
        <v>OK</v>
      </c>
      <c r="J21" t="str">
        <f t="shared" si="1"/>
        <v>OK</v>
      </c>
      <c r="K21" t="str">
        <f t="shared" si="2"/>
        <v>Unique</v>
      </c>
      <c r="L21" t="str">
        <f t="shared" si="3"/>
        <v>OK</v>
      </c>
      <c r="M21" t="str">
        <f t="shared" si="4"/>
        <v>CLEAN</v>
      </c>
      <c r="N21" t="str">
        <f t="shared" si="5"/>
        <v/>
      </c>
    </row>
    <row r="22" spans="1:14" x14ac:dyDescent="0.35">
      <c r="A22" t="s">
        <v>67</v>
      </c>
      <c r="B22" t="s">
        <v>53</v>
      </c>
      <c r="C22" t="s">
        <v>27</v>
      </c>
      <c r="D22">
        <v>36</v>
      </c>
      <c r="E22">
        <v>0</v>
      </c>
      <c r="F22">
        <v>0</v>
      </c>
      <c r="G22" s="1">
        <v>45398</v>
      </c>
      <c r="H22" t="s">
        <v>68</v>
      </c>
      <c r="I22" t="str">
        <f t="shared" si="0"/>
        <v>Check Price</v>
      </c>
      <c r="J22" t="str">
        <f t="shared" si="1"/>
        <v>Zero Sale</v>
      </c>
      <c r="K22" t="str">
        <f t="shared" si="2"/>
        <v>Unique</v>
      </c>
      <c r="L22" t="str">
        <f t="shared" si="3"/>
        <v>OK</v>
      </c>
      <c r="M22" t="str">
        <f t="shared" si="4"/>
        <v>EXCEPTION</v>
      </c>
      <c r="N22" t="str">
        <f t="shared" si="5"/>
        <v>Price Issue, Zero Sale</v>
      </c>
    </row>
    <row r="23" spans="1:14" x14ac:dyDescent="0.35">
      <c r="A23" t="s">
        <v>69</v>
      </c>
      <c r="B23" t="s">
        <v>34</v>
      </c>
      <c r="C23" t="s">
        <v>70</v>
      </c>
      <c r="D23">
        <v>1</v>
      </c>
      <c r="E23">
        <v>269680.75</v>
      </c>
      <c r="F23">
        <v>269680.75</v>
      </c>
      <c r="G23" s="1">
        <v>45513</v>
      </c>
      <c r="H23" t="s">
        <v>71</v>
      </c>
      <c r="I23" t="str">
        <f t="shared" si="0"/>
        <v>OK</v>
      </c>
      <c r="J23" t="str">
        <f t="shared" si="1"/>
        <v>OK</v>
      </c>
      <c r="K23" t="str">
        <f t="shared" si="2"/>
        <v>Unique</v>
      </c>
      <c r="L23" t="str">
        <f t="shared" si="3"/>
        <v>OK</v>
      </c>
      <c r="M23" t="str">
        <f t="shared" si="4"/>
        <v>CLEAN</v>
      </c>
      <c r="N23" t="str">
        <f t="shared" si="5"/>
        <v/>
      </c>
    </row>
    <row r="24" spans="1:14" x14ac:dyDescent="0.35">
      <c r="A24" t="s">
        <v>1048</v>
      </c>
      <c r="B24" t="s">
        <v>42</v>
      </c>
      <c r="C24" t="s">
        <v>12</v>
      </c>
      <c r="D24">
        <v>33</v>
      </c>
      <c r="E24">
        <v>261693.68</v>
      </c>
      <c r="F24">
        <v>8635891.4399999995</v>
      </c>
      <c r="G24" s="1">
        <v>45292</v>
      </c>
      <c r="H24" t="s">
        <v>72</v>
      </c>
      <c r="I24" t="str">
        <f t="shared" si="0"/>
        <v>OK</v>
      </c>
      <c r="J24" t="str">
        <f t="shared" si="1"/>
        <v>OK</v>
      </c>
      <c r="K24" t="str">
        <f t="shared" si="2"/>
        <v>Unique</v>
      </c>
      <c r="L24" t="str">
        <f t="shared" si="3"/>
        <v>OK</v>
      </c>
      <c r="M24" t="str">
        <f t="shared" si="4"/>
        <v>CLEAN</v>
      </c>
      <c r="N24" t="str">
        <f t="shared" si="5"/>
        <v/>
      </c>
    </row>
    <row r="25" spans="1:14" x14ac:dyDescent="0.35">
      <c r="A25" t="s">
        <v>73</v>
      </c>
      <c r="B25" t="s">
        <v>20</v>
      </c>
      <c r="C25" t="s">
        <v>27</v>
      </c>
      <c r="D25">
        <v>1</v>
      </c>
      <c r="E25">
        <v>188963.51</v>
      </c>
      <c r="F25">
        <v>188963.51</v>
      </c>
      <c r="G25" s="1">
        <v>45212</v>
      </c>
      <c r="H25" t="s">
        <v>74</v>
      </c>
      <c r="I25" t="str">
        <f t="shared" si="0"/>
        <v>OK</v>
      </c>
      <c r="J25" t="str">
        <f t="shared" si="1"/>
        <v>OK</v>
      </c>
      <c r="K25" t="str">
        <f t="shared" si="2"/>
        <v>Unique</v>
      </c>
      <c r="L25" t="str">
        <f t="shared" si="3"/>
        <v>OK</v>
      </c>
      <c r="M25" t="str">
        <f t="shared" si="4"/>
        <v>CLEAN</v>
      </c>
      <c r="N25" t="str">
        <f t="shared" si="5"/>
        <v/>
      </c>
    </row>
    <row r="26" spans="1:14" x14ac:dyDescent="0.35">
      <c r="A26" t="s">
        <v>75</v>
      </c>
      <c r="B26" t="s">
        <v>76</v>
      </c>
      <c r="C26" t="s">
        <v>46</v>
      </c>
      <c r="D26">
        <v>4</v>
      </c>
      <c r="E26">
        <v>179274.43</v>
      </c>
      <c r="F26">
        <v>717097.72</v>
      </c>
      <c r="G26" s="1">
        <v>45274</v>
      </c>
      <c r="H26" t="s">
        <v>77</v>
      </c>
      <c r="I26" t="str">
        <f t="shared" si="0"/>
        <v>OK</v>
      </c>
      <c r="J26" t="str">
        <f t="shared" si="1"/>
        <v>OK</v>
      </c>
      <c r="K26" t="str">
        <f t="shared" si="2"/>
        <v>Unique</v>
      </c>
      <c r="L26" t="str">
        <f t="shared" si="3"/>
        <v>OK</v>
      </c>
      <c r="M26" t="str">
        <f t="shared" si="4"/>
        <v>CLEAN</v>
      </c>
      <c r="N26" t="str">
        <f t="shared" si="5"/>
        <v/>
      </c>
    </row>
    <row r="27" spans="1:14" x14ac:dyDescent="0.35">
      <c r="A27" t="s">
        <v>78</v>
      </c>
      <c r="B27" t="s">
        <v>79</v>
      </c>
      <c r="C27" t="s">
        <v>70</v>
      </c>
      <c r="D27">
        <v>1</v>
      </c>
      <c r="E27">
        <v>80026.37</v>
      </c>
      <c r="F27">
        <v>80026.37</v>
      </c>
      <c r="G27" s="1">
        <v>45733</v>
      </c>
      <c r="H27" t="s">
        <v>80</v>
      </c>
      <c r="I27" t="str">
        <f t="shared" si="0"/>
        <v>OK</v>
      </c>
      <c r="J27" t="str">
        <f t="shared" si="1"/>
        <v>OK</v>
      </c>
      <c r="K27" t="str">
        <f t="shared" si="2"/>
        <v>Unique</v>
      </c>
      <c r="L27" t="str">
        <f t="shared" si="3"/>
        <v>OK</v>
      </c>
      <c r="M27" t="str">
        <f t="shared" si="4"/>
        <v>CLEAN</v>
      </c>
      <c r="N27" t="str">
        <f t="shared" si="5"/>
        <v/>
      </c>
    </row>
    <row r="28" spans="1:14" x14ac:dyDescent="0.35">
      <c r="A28" t="s">
        <v>1047</v>
      </c>
      <c r="B28" t="s">
        <v>16</v>
      </c>
      <c r="C28" t="s">
        <v>70</v>
      </c>
      <c r="D28">
        <v>1</v>
      </c>
      <c r="E28">
        <v>196849.5</v>
      </c>
      <c r="F28">
        <v>196849.5</v>
      </c>
      <c r="G28" s="1">
        <v>45225</v>
      </c>
      <c r="H28" t="s">
        <v>81</v>
      </c>
      <c r="I28" t="str">
        <f t="shared" si="0"/>
        <v>OK</v>
      </c>
      <c r="J28" t="str">
        <f t="shared" si="1"/>
        <v>OK</v>
      </c>
      <c r="K28" t="str">
        <f t="shared" si="2"/>
        <v>Unique</v>
      </c>
      <c r="L28" t="str">
        <f t="shared" si="3"/>
        <v>OK</v>
      </c>
      <c r="M28" t="str">
        <f t="shared" si="4"/>
        <v>CLEAN</v>
      </c>
      <c r="N28" t="str">
        <f t="shared" si="5"/>
        <v/>
      </c>
    </row>
    <row r="29" spans="1:14" x14ac:dyDescent="0.35">
      <c r="A29" t="s">
        <v>82</v>
      </c>
      <c r="B29" t="s">
        <v>11</v>
      </c>
      <c r="C29" t="s">
        <v>55</v>
      </c>
      <c r="D29">
        <v>42</v>
      </c>
      <c r="E29">
        <v>291631.03000000003</v>
      </c>
      <c r="F29">
        <v>12248503.260000002</v>
      </c>
      <c r="G29" s="1">
        <v>45301</v>
      </c>
      <c r="H29" t="s">
        <v>83</v>
      </c>
      <c r="I29" t="str">
        <f t="shared" si="0"/>
        <v>OK</v>
      </c>
      <c r="J29" t="str">
        <f t="shared" si="1"/>
        <v>OK</v>
      </c>
      <c r="K29" t="str">
        <f t="shared" si="2"/>
        <v>Unique</v>
      </c>
      <c r="L29" t="str">
        <f t="shared" si="3"/>
        <v>OK</v>
      </c>
      <c r="M29" t="str">
        <f t="shared" si="4"/>
        <v>CLEAN</v>
      </c>
      <c r="N29" t="str">
        <f t="shared" si="5"/>
        <v/>
      </c>
    </row>
    <row r="30" spans="1:14" x14ac:dyDescent="0.35">
      <c r="A30" t="s">
        <v>84</v>
      </c>
      <c r="B30" t="s">
        <v>85</v>
      </c>
      <c r="C30" t="s">
        <v>17</v>
      </c>
      <c r="D30">
        <v>1</v>
      </c>
      <c r="E30">
        <v>173753.06</v>
      </c>
      <c r="F30">
        <v>173753.06</v>
      </c>
      <c r="G30" s="1">
        <v>45731</v>
      </c>
      <c r="H30" t="s">
        <v>1101</v>
      </c>
      <c r="I30" t="str">
        <f t="shared" si="0"/>
        <v>OK</v>
      </c>
      <c r="J30" t="str">
        <f t="shared" si="1"/>
        <v>OK</v>
      </c>
      <c r="K30" t="str">
        <f t="shared" si="2"/>
        <v>Unique</v>
      </c>
      <c r="L30" t="str">
        <f t="shared" si="3"/>
        <v>OK</v>
      </c>
      <c r="M30" t="str">
        <f t="shared" si="4"/>
        <v>CLEAN</v>
      </c>
      <c r="N30" t="str">
        <f t="shared" si="5"/>
        <v/>
      </c>
    </row>
    <row r="31" spans="1:14" x14ac:dyDescent="0.35">
      <c r="A31" t="s">
        <v>86</v>
      </c>
      <c r="B31" t="s">
        <v>42</v>
      </c>
      <c r="C31" t="s">
        <v>70</v>
      </c>
      <c r="D31">
        <v>7</v>
      </c>
      <c r="E31">
        <v>68649.2</v>
      </c>
      <c r="F31">
        <v>480544.39999999997</v>
      </c>
      <c r="G31" s="1">
        <v>45501</v>
      </c>
      <c r="H31" t="s">
        <v>87</v>
      </c>
      <c r="I31" t="str">
        <f t="shared" si="0"/>
        <v>OK</v>
      </c>
      <c r="J31" t="str">
        <f t="shared" si="1"/>
        <v>OK</v>
      </c>
      <c r="K31" t="str">
        <f t="shared" si="2"/>
        <v>Unique</v>
      </c>
      <c r="L31" t="str">
        <f t="shared" si="3"/>
        <v>OK</v>
      </c>
      <c r="M31" t="str">
        <f t="shared" si="4"/>
        <v>CLEAN</v>
      </c>
      <c r="N31" t="str">
        <f t="shared" si="5"/>
        <v/>
      </c>
    </row>
    <row r="32" spans="1:14" x14ac:dyDescent="0.35">
      <c r="A32" t="s">
        <v>88</v>
      </c>
      <c r="B32" t="s">
        <v>89</v>
      </c>
      <c r="C32" t="s">
        <v>90</v>
      </c>
      <c r="D32">
        <v>1</v>
      </c>
      <c r="E32">
        <v>0</v>
      </c>
      <c r="F32">
        <v>0</v>
      </c>
      <c r="G32" s="1">
        <v>45138</v>
      </c>
      <c r="H32" t="s">
        <v>91</v>
      </c>
      <c r="I32" t="str">
        <f t="shared" si="0"/>
        <v>Check Price</v>
      </c>
      <c r="J32" t="str">
        <f t="shared" si="1"/>
        <v>Zero Sale</v>
      </c>
      <c r="K32" t="str">
        <f t="shared" si="2"/>
        <v>Unique</v>
      </c>
      <c r="L32" t="str">
        <f t="shared" si="3"/>
        <v>OK</v>
      </c>
      <c r="M32" t="str">
        <f t="shared" si="4"/>
        <v>EXCEPTION</v>
      </c>
      <c r="N32" t="str">
        <f t="shared" si="5"/>
        <v>Price Issue, Zero Sale</v>
      </c>
    </row>
    <row r="33" spans="1:14" x14ac:dyDescent="0.35">
      <c r="A33" t="s">
        <v>92</v>
      </c>
      <c r="B33" t="s">
        <v>16</v>
      </c>
      <c r="C33" t="s">
        <v>27</v>
      </c>
      <c r="D33">
        <v>68</v>
      </c>
      <c r="E33">
        <v>15880.87</v>
      </c>
      <c r="F33">
        <v>1079899.1600000001</v>
      </c>
      <c r="G33" s="1">
        <v>45398</v>
      </c>
      <c r="H33" t="s">
        <v>93</v>
      </c>
      <c r="I33" t="str">
        <f t="shared" si="0"/>
        <v>OK</v>
      </c>
      <c r="J33" t="str">
        <f t="shared" si="1"/>
        <v>OK</v>
      </c>
      <c r="K33" t="str">
        <f t="shared" si="2"/>
        <v>Unique</v>
      </c>
      <c r="L33" t="str">
        <f t="shared" si="3"/>
        <v>OK</v>
      </c>
      <c r="M33" t="str">
        <f t="shared" si="4"/>
        <v>CLEAN</v>
      </c>
      <c r="N33" t="str">
        <f t="shared" si="5"/>
        <v/>
      </c>
    </row>
    <row r="34" spans="1:14" x14ac:dyDescent="0.35">
      <c r="A34" t="s">
        <v>94</v>
      </c>
      <c r="B34" t="s">
        <v>26</v>
      </c>
      <c r="C34" t="s">
        <v>70</v>
      </c>
      <c r="D34">
        <v>96</v>
      </c>
      <c r="E34">
        <v>144394.41</v>
      </c>
      <c r="F34">
        <v>13861863.359999999</v>
      </c>
      <c r="G34" s="1">
        <v>45548</v>
      </c>
      <c r="H34" t="s">
        <v>95</v>
      </c>
      <c r="I34" t="str">
        <f t="shared" si="0"/>
        <v>OK</v>
      </c>
      <c r="J34" t="str">
        <f t="shared" si="1"/>
        <v>OK</v>
      </c>
      <c r="K34" t="str">
        <f t="shared" si="2"/>
        <v>Unique</v>
      </c>
      <c r="L34" t="str">
        <f t="shared" si="3"/>
        <v>OK</v>
      </c>
      <c r="M34" t="str">
        <f t="shared" si="4"/>
        <v>CLEAN</v>
      </c>
      <c r="N34" t="str">
        <f t="shared" si="5"/>
        <v/>
      </c>
    </row>
    <row r="35" spans="1:14" x14ac:dyDescent="0.35">
      <c r="A35" t="s">
        <v>96</v>
      </c>
      <c r="B35" t="s">
        <v>53</v>
      </c>
      <c r="C35" t="s">
        <v>70</v>
      </c>
      <c r="D35">
        <v>1</v>
      </c>
      <c r="E35">
        <v>157507.57999999999</v>
      </c>
      <c r="F35">
        <v>157507.57999999999</v>
      </c>
      <c r="G35" s="1">
        <v>45562</v>
      </c>
      <c r="H35" t="s">
        <v>97</v>
      </c>
      <c r="I35" t="str">
        <f t="shared" si="0"/>
        <v>OK</v>
      </c>
      <c r="J35" t="str">
        <f t="shared" si="1"/>
        <v>OK</v>
      </c>
      <c r="K35" t="str">
        <f t="shared" si="2"/>
        <v>Unique</v>
      </c>
      <c r="L35" t="str">
        <f t="shared" si="3"/>
        <v>OK</v>
      </c>
      <c r="M35" t="str">
        <f t="shared" si="4"/>
        <v>CLEAN</v>
      </c>
      <c r="N35" t="str">
        <f t="shared" si="5"/>
        <v/>
      </c>
    </row>
    <row r="36" spans="1:14" x14ac:dyDescent="0.35">
      <c r="A36" t="s">
        <v>98</v>
      </c>
      <c r="B36" t="s">
        <v>89</v>
      </c>
      <c r="C36" t="s">
        <v>90</v>
      </c>
      <c r="D36">
        <v>1</v>
      </c>
      <c r="E36">
        <v>216494.26</v>
      </c>
      <c r="F36">
        <v>216494.26</v>
      </c>
      <c r="G36" s="1">
        <v>45404</v>
      </c>
      <c r="H36" t="s">
        <v>99</v>
      </c>
      <c r="I36" t="str">
        <f t="shared" si="0"/>
        <v>OK</v>
      </c>
      <c r="J36" t="str">
        <f t="shared" si="1"/>
        <v>OK</v>
      </c>
      <c r="K36" t="str">
        <f t="shared" si="2"/>
        <v>Unique</v>
      </c>
      <c r="L36" t="str">
        <f t="shared" si="3"/>
        <v>OK</v>
      </c>
      <c r="M36" t="str">
        <f t="shared" si="4"/>
        <v>CLEAN</v>
      </c>
      <c r="N36" t="str">
        <f t="shared" si="5"/>
        <v/>
      </c>
    </row>
    <row r="37" spans="1:14" x14ac:dyDescent="0.35">
      <c r="A37" t="s">
        <v>100</v>
      </c>
      <c r="B37" t="s">
        <v>31</v>
      </c>
      <c r="C37" t="s">
        <v>70</v>
      </c>
      <c r="D37">
        <v>1</v>
      </c>
      <c r="E37">
        <v>232494.54</v>
      </c>
      <c r="F37">
        <v>232494.54</v>
      </c>
      <c r="G37" s="1">
        <v>45481</v>
      </c>
      <c r="H37" t="s">
        <v>101</v>
      </c>
      <c r="I37" t="str">
        <f t="shared" si="0"/>
        <v>OK</v>
      </c>
      <c r="J37" t="str">
        <f t="shared" si="1"/>
        <v>OK</v>
      </c>
      <c r="K37" t="str">
        <f t="shared" si="2"/>
        <v>Unique</v>
      </c>
      <c r="L37" t="str">
        <f t="shared" si="3"/>
        <v>OK</v>
      </c>
      <c r="M37" t="str">
        <f t="shared" si="4"/>
        <v>CLEAN</v>
      </c>
      <c r="N37" t="str">
        <f t="shared" si="5"/>
        <v/>
      </c>
    </row>
    <row r="38" spans="1:14" x14ac:dyDescent="0.35">
      <c r="A38" t="s">
        <v>102</v>
      </c>
      <c r="B38" t="s">
        <v>37</v>
      </c>
      <c r="C38" t="s">
        <v>17</v>
      </c>
      <c r="D38">
        <v>1</v>
      </c>
      <c r="E38">
        <v>114367.01</v>
      </c>
      <c r="F38">
        <v>114367.01</v>
      </c>
      <c r="G38" s="1">
        <v>45742</v>
      </c>
      <c r="H38" t="s">
        <v>103</v>
      </c>
      <c r="I38" t="str">
        <f t="shared" si="0"/>
        <v>OK</v>
      </c>
      <c r="J38" t="str">
        <f t="shared" si="1"/>
        <v>OK</v>
      </c>
      <c r="K38" t="str">
        <f t="shared" si="2"/>
        <v>Unique</v>
      </c>
      <c r="L38" t="str">
        <f t="shared" si="3"/>
        <v>OK</v>
      </c>
      <c r="M38" t="str">
        <f t="shared" si="4"/>
        <v>CLEAN</v>
      </c>
      <c r="N38" t="str">
        <f t="shared" si="5"/>
        <v/>
      </c>
    </row>
    <row r="39" spans="1:14" x14ac:dyDescent="0.35">
      <c r="A39" t="s">
        <v>104</v>
      </c>
      <c r="B39" t="s">
        <v>105</v>
      </c>
      <c r="C39" t="s">
        <v>90</v>
      </c>
      <c r="D39">
        <v>65</v>
      </c>
      <c r="E39">
        <v>246587.56</v>
      </c>
      <c r="F39">
        <v>16028191.4</v>
      </c>
      <c r="G39" s="1">
        <v>45546</v>
      </c>
      <c r="H39" t="s">
        <v>106</v>
      </c>
      <c r="I39" t="str">
        <f t="shared" si="0"/>
        <v>OK</v>
      </c>
      <c r="J39" t="str">
        <f t="shared" si="1"/>
        <v>OK</v>
      </c>
      <c r="K39" t="str">
        <f t="shared" si="2"/>
        <v>Unique</v>
      </c>
      <c r="L39" t="str">
        <f t="shared" si="3"/>
        <v>OK</v>
      </c>
      <c r="M39" t="str">
        <f t="shared" si="4"/>
        <v>CLEAN</v>
      </c>
      <c r="N39" t="str">
        <f t="shared" si="5"/>
        <v/>
      </c>
    </row>
    <row r="40" spans="1:14" x14ac:dyDescent="0.35">
      <c r="A40" t="s">
        <v>107</v>
      </c>
      <c r="B40" t="s">
        <v>31</v>
      </c>
      <c r="C40" t="s">
        <v>55</v>
      </c>
      <c r="D40">
        <v>79</v>
      </c>
      <c r="E40">
        <v>73037.87</v>
      </c>
      <c r="F40">
        <v>5769991.7299999995</v>
      </c>
      <c r="G40" s="1">
        <v>45218</v>
      </c>
      <c r="H40" t="s">
        <v>108</v>
      </c>
      <c r="I40" t="str">
        <f t="shared" si="0"/>
        <v>OK</v>
      </c>
      <c r="J40" t="str">
        <f t="shared" si="1"/>
        <v>OK</v>
      </c>
      <c r="K40" t="str">
        <f t="shared" si="2"/>
        <v>Unique</v>
      </c>
      <c r="L40" t="str">
        <f t="shared" si="3"/>
        <v>OK</v>
      </c>
      <c r="M40" t="str">
        <f t="shared" si="4"/>
        <v>CLEAN</v>
      </c>
      <c r="N40" t="str">
        <f t="shared" si="5"/>
        <v/>
      </c>
    </row>
    <row r="41" spans="1:14" x14ac:dyDescent="0.35">
      <c r="A41" t="s">
        <v>1047</v>
      </c>
      <c r="B41" t="s">
        <v>109</v>
      </c>
      <c r="C41" t="s">
        <v>23</v>
      </c>
      <c r="D41">
        <v>1</v>
      </c>
      <c r="E41">
        <v>171984.8</v>
      </c>
      <c r="F41">
        <v>171984.8</v>
      </c>
      <c r="G41" s="1">
        <v>45593</v>
      </c>
      <c r="H41" t="s">
        <v>110</v>
      </c>
      <c r="I41" t="str">
        <f t="shared" si="0"/>
        <v>OK</v>
      </c>
      <c r="J41" t="str">
        <f t="shared" si="1"/>
        <v>OK</v>
      </c>
      <c r="K41" t="str">
        <f t="shared" si="2"/>
        <v>Unique</v>
      </c>
      <c r="L41" t="str">
        <f t="shared" si="3"/>
        <v>OK</v>
      </c>
      <c r="M41" t="str">
        <f t="shared" si="4"/>
        <v>CLEAN</v>
      </c>
      <c r="N41" t="str">
        <f t="shared" si="5"/>
        <v/>
      </c>
    </row>
    <row r="42" spans="1:14" x14ac:dyDescent="0.35">
      <c r="A42" t="s">
        <v>111</v>
      </c>
      <c r="B42" t="s">
        <v>109</v>
      </c>
      <c r="C42" t="s">
        <v>70</v>
      </c>
      <c r="D42">
        <v>1</v>
      </c>
      <c r="E42">
        <v>0</v>
      </c>
      <c r="F42">
        <v>0</v>
      </c>
      <c r="G42" s="1">
        <v>45804</v>
      </c>
      <c r="H42" t="s">
        <v>112</v>
      </c>
      <c r="I42" t="str">
        <f t="shared" si="0"/>
        <v>Check Price</v>
      </c>
      <c r="J42" t="str">
        <f t="shared" si="1"/>
        <v>Zero Sale</v>
      </c>
      <c r="K42" t="str">
        <f t="shared" si="2"/>
        <v>Unique</v>
      </c>
      <c r="L42" t="str">
        <f t="shared" si="3"/>
        <v>OK</v>
      </c>
      <c r="M42" t="str">
        <f t="shared" si="4"/>
        <v>EXCEPTION</v>
      </c>
      <c r="N42" t="str">
        <f t="shared" si="5"/>
        <v>Price Issue, Zero Sale</v>
      </c>
    </row>
    <row r="43" spans="1:14" x14ac:dyDescent="0.35">
      <c r="A43" t="s">
        <v>113</v>
      </c>
      <c r="B43" t="s">
        <v>61</v>
      </c>
      <c r="C43" t="s">
        <v>70</v>
      </c>
      <c r="D43">
        <v>1</v>
      </c>
      <c r="E43">
        <v>210306.01</v>
      </c>
      <c r="F43">
        <v>210306.01</v>
      </c>
      <c r="G43" s="1">
        <v>45184</v>
      </c>
      <c r="H43" t="s">
        <v>114</v>
      </c>
      <c r="I43" t="str">
        <f t="shared" si="0"/>
        <v>OK</v>
      </c>
      <c r="J43" t="str">
        <f t="shared" si="1"/>
        <v>OK</v>
      </c>
      <c r="K43" t="str">
        <f t="shared" si="2"/>
        <v>Unique</v>
      </c>
      <c r="L43" t="str">
        <f t="shared" si="3"/>
        <v>OK</v>
      </c>
      <c r="M43" t="str">
        <f t="shared" si="4"/>
        <v>CLEAN</v>
      </c>
      <c r="N43" t="str">
        <f t="shared" si="5"/>
        <v/>
      </c>
    </row>
    <row r="44" spans="1:14" x14ac:dyDescent="0.35">
      <c r="A44" t="s">
        <v>115</v>
      </c>
      <c r="B44" t="s">
        <v>16</v>
      </c>
      <c r="C44" t="s">
        <v>27</v>
      </c>
      <c r="D44">
        <v>4</v>
      </c>
      <c r="E44">
        <v>57639.91</v>
      </c>
      <c r="F44">
        <v>230559.64</v>
      </c>
      <c r="G44" s="1">
        <v>45169</v>
      </c>
      <c r="H44" t="s">
        <v>1102</v>
      </c>
      <c r="I44" t="str">
        <f t="shared" si="0"/>
        <v>OK</v>
      </c>
      <c r="J44" t="str">
        <f t="shared" si="1"/>
        <v>OK</v>
      </c>
      <c r="K44" t="str">
        <f t="shared" si="2"/>
        <v>Unique</v>
      </c>
      <c r="L44" t="str">
        <f t="shared" si="3"/>
        <v>OK</v>
      </c>
      <c r="M44" t="str">
        <f t="shared" si="4"/>
        <v>CLEAN</v>
      </c>
      <c r="N44" t="str">
        <f t="shared" si="5"/>
        <v/>
      </c>
    </row>
    <row r="45" spans="1:14" x14ac:dyDescent="0.35">
      <c r="A45" t="s">
        <v>116</v>
      </c>
      <c r="B45" t="s">
        <v>45</v>
      </c>
      <c r="C45" t="s">
        <v>17</v>
      </c>
      <c r="D45">
        <v>1</v>
      </c>
      <c r="E45">
        <v>132591.04999999999</v>
      </c>
      <c r="F45">
        <v>132591.04999999999</v>
      </c>
      <c r="G45" s="1">
        <v>45358</v>
      </c>
      <c r="H45" t="s">
        <v>117</v>
      </c>
      <c r="I45" t="str">
        <f t="shared" si="0"/>
        <v>OK</v>
      </c>
      <c r="J45" t="str">
        <f t="shared" si="1"/>
        <v>OK</v>
      </c>
      <c r="K45" t="str">
        <f t="shared" si="2"/>
        <v>Unique</v>
      </c>
      <c r="L45" t="str">
        <f t="shared" si="3"/>
        <v>OK</v>
      </c>
      <c r="M45" t="str">
        <f t="shared" si="4"/>
        <v>CLEAN</v>
      </c>
      <c r="N45" t="str">
        <f t="shared" si="5"/>
        <v/>
      </c>
    </row>
    <row r="46" spans="1:14" x14ac:dyDescent="0.35">
      <c r="A46" t="s">
        <v>118</v>
      </c>
      <c r="B46" t="s">
        <v>76</v>
      </c>
      <c r="C46" t="s">
        <v>27</v>
      </c>
      <c r="D46">
        <v>1</v>
      </c>
      <c r="E46">
        <v>125924.7</v>
      </c>
      <c r="F46">
        <v>125924.7</v>
      </c>
      <c r="G46" s="1">
        <v>45427</v>
      </c>
      <c r="H46" t="s">
        <v>119</v>
      </c>
      <c r="I46" t="str">
        <f t="shared" si="0"/>
        <v>OK</v>
      </c>
      <c r="J46" t="str">
        <f t="shared" si="1"/>
        <v>OK</v>
      </c>
      <c r="K46" t="str">
        <f t="shared" si="2"/>
        <v>Unique</v>
      </c>
      <c r="L46" t="str">
        <f t="shared" si="3"/>
        <v>OK</v>
      </c>
      <c r="M46" t="str">
        <f t="shared" si="4"/>
        <v>CLEAN</v>
      </c>
      <c r="N46" t="str">
        <f t="shared" si="5"/>
        <v/>
      </c>
    </row>
    <row r="47" spans="1:14" x14ac:dyDescent="0.35">
      <c r="A47" t="s">
        <v>120</v>
      </c>
      <c r="B47" t="s">
        <v>34</v>
      </c>
      <c r="C47" t="s">
        <v>23</v>
      </c>
      <c r="D47">
        <v>1</v>
      </c>
      <c r="E47">
        <v>124181.55</v>
      </c>
      <c r="F47">
        <v>124181.55</v>
      </c>
      <c r="G47" s="1">
        <v>45674</v>
      </c>
      <c r="H47" t="s">
        <v>121</v>
      </c>
      <c r="I47" t="str">
        <f t="shared" si="0"/>
        <v>OK</v>
      </c>
      <c r="J47" t="str">
        <f t="shared" si="1"/>
        <v>OK</v>
      </c>
      <c r="K47" t="str">
        <f t="shared" si="2"/>
        <v>Unique</v>
      </c>
      <c r="L47" t="str">
        <f t="shared" si="3"/>
        <v>OK</v>
      </c>
      <c r="M47" t="str">
        <f t="shared" si="4"/>
        <v>CLEAN</v>
      </c>
      <c r="N47" t="str">
        <f t="shared" si="5"/>
        <v/>
      </c>
    </row>
    <row r="48" spans="1:14" x14ac:dyDescent="0.35">
      <c r="A48" t="s">
        <v>122</v>
      </c>
      <c r="B48" t="s">
        <v>31</v>
      </c>
      <c r="C48" t="s">
        <v>70</v>
      </c>
      <c r="D48">
        <v>1</v>
      </c>
      <c r="E48">
        <v>61565.56</v>
      </c>
      <c r="F48">
        <v>61565.56</v>
      </c>
      <c r="G48" s="1">
        <v>45676</v>
      </c>
      <c r="H48" t="s">
        <v>123</v>
      </c>
      <c r="I48" t="str">
        <f t="shared" si="0"/>
        <v>OK</v>
      </c>
      <c r="J48" t="str">
        <f t="shared" si="1"/>
        <v>OK</v>
      </c>
      <c r="K48" t="str">
        <f t="shared" si="2"/>
        <v>Unique</v>
      </c>
      <c r="L48" t="str">
        <f t="shared" si="3"/>
        <v>OK</v>
      </c>
      <c r="M48" t="str">
        <f t="shared" si="4"/>
        <v>CLEAN</v>
      </c>
      <c r="N48" t="str">
        <f t="shared" si="5"/>
        <v/>
      </c>
    </row>
    <row r="49" spans="1:14" x14ac:dyDescent="0.35">
      <c r="A49" t="s">
        <v>124</v>
      </c>
      <c r="B49" t="s">
        <v>105</v>
      </c>
      <c r="C49" t="s">
        <v>17</v>
      </c>
      <c r="D49">
        <v>10</v>
      </c>
      <c r="E49">
        <v>150794.94</v>
      </c>
      <c r="F49">
        <v>1507949.4</v>
      </c>
      <c r="G49" s="1">
        <v>45489</v>
      </c>
      <c r="H49" t="s">
        <v>125</v>
      </c>
      <c r="I49" t="str">
        <f t="shared" si="0"/>
        <v>OK</v>
      </c>
      <c r="J49" t="str">
        <f t="shared" si="1"/>
        <v>OK</v>
      </c>
      <c r="K49" t="str">
        <f t="shared" si="2"/>
        <v>Unique</v>
      </c>
      <c r="L49" t="str">
        <f t="shared" si="3"/>
        <v>OK</v>
      </c>
      <c r="M49" t="str">
        <f t="shared" si="4"/>
        <v>CLEAN</v>
      </c>
      <c r="N49" t="str">
        <f t="shared" si="5"/>
        <v/>
      </c>
    </row>
    <row r="50" spans="1:14" x14ac:dyDescent="0.35">
      <c r="A50" t="s">
        <v>126</v>
      </c>
      <c r="B50" t="s">
        <v>37</v>
      </c>
      <c r="C50" t="s">
        <v>90</v>
      </c>
      <c r="D50">
        <v>1</v>
      </c>
      <c r="E50">
        <v>183637.68</v>
      </c>
      <c r="F50">
        <v>183637.68</v>
      </c>
      <c r="G50" s="1">
        <v>45526</v>
      </c>
      <c r="H50" t="s">
        <v>127</v>
      </c>
      <c r="I50" t="str">
        <f t="shared" si="0"/>
        <v>OK</v>
      </c>
      <c r="J50" t="str">
        <f t="shared" si="1"/>
        <v>OK</v>
      </c>
      <c r="K50" t="str">
        <f t="shared" si="2"/>
        <v>Unique</v>
      </c>
      <c r="L50" t="str">
        <f t="shared" si="3"/>
        <v>OK</v>
      </c>
      <c r="M50" t="str">
        <f t="shared" si="4"/>
        <v>CLEAN</v>
      </c>
      <c r="N50" t="str">
        <f t="shared" si="5"/>
        <v/>
      </c>
    </row>
    <row r="51" spans="1:14" x14ac:dyDescent="0.35">
      <c r="A51" t="s">
        <v>128</v>
      </c>
      <c r="B51" t="s">
        <v>34</v>
      </c>
      <c r="C51" t="s">
        <v>70</v>
      </c>
      <c r="D51">
        <v>19</v>
      </c>
      <c r="E51">
        <v>141745.84</v>
      </c>
      <c r="F51">
        <v>2693170.96</v>
      </c>
      <c r="G51" s="1">
        <v>45437</v>
      </c>
      <c r="H51" t="s">
        <v>129</v>
      </c>
      <c r="I51" t="str">
        <f t="shared" si="0"/>
        <v>OK</v>
      </c>
      <c r="J51" t="str">
        <f t="shared" si="1"/>
        <v>OK</v>
      </c>
      <c r="K51" t="str">
        <f t="shared" si="2"/>
        <v>Unique</v>
      </c>
      <c r="L51" t="str">
        <f t="shared" si="3"/>
        <v>OK</v>
      </c>
      <c r="M51" t="str">
        <f t="shared" si="4"/>
        <v>CLEAN</v>
      </c>
      <c r="N51" t="str">
        <f t="shared" si="5"/>
        <v/>
      </c>
    </row>
    <row r="52" spans="1:14" x14ac:dyDescent="0.35">
      <c r="A52" t="s">
        <v>130</v>
      </c>
      <c r="B52" t="s">
        <v>131</v>
      </c>
      <c r="C52" t="s">
        <v>55</v>
      </c>
      <c r="D52">
        <v>1</v>
      </c>
      <c r="E52">
        <v>0</v>
      </c>
      <c r="F52">
        <v>0</v>
      </c>
      <c r="G52" s="1">
        <v>45715</v>
      </c>
      <c r="H52" t="s">
        <v>132</v>
      </c>
      <c r="I52" t="str">
        <f t="shared" si="0"/>
        <v>Check Price</v>
      </c>
      <c r="J52" t="str">
        <f t="shared" si="1"/>
        <v>Zero Sale</v>
      </c>
      <c r="K52" t="str">
        <f t="shared" si="2"/>
        <v>Unique</v>
      </c>
      <c r="L52" t="str">
        <f t="shared" si="3"/>
        <v>OK</v>
      </c>
      <c r="M52" t="str">
        <f t="shared" si="4"/>
        <v>EXCEPTION</v>
      </c>
      <c r="N52" t="str">
        <f t="shared" si="5"/>
        <v>Price Issue, Zero Sale</v>
      </c>
    </row>
    <row r="53" spans="1:14" x14ac:dyDescent="0.35">
      <c r="A53" t="s">
        <v>133</v>
      </c>
      <c r="B53" t="s">
        <v>61</v>
      </c>
      <c r="C53" t="s">
        <v>70</v>
      </c>
      <c r="D53">
        <v>1</v>
      </c>
      <c r="E53">
        <v>254588.91</v>
      </c>
      <c r="F53">
        <v>254588.91</v>
      </c>
      <c r="G53" s="1">
        <v>45436</v>
      </c>
      <c r="H53" t="s">
        <v>134</v>
      </c>
      <c r="I53" t="str">
        <f t="shared" si="0"/>
        <v>OK</v>
      </c>
      <c r="J53" t="str">
        <f t="shared" si="1"/>
        <v>OK</v>
      </c>
      <c r="K53" t="str">
        <f t="shared" si="2"/>
        <v>Unique</v>
      </c>
      <c r="L53" t="str">
        <f t="shared" si="3"/>
        <v>OK</v>
      </c>
      <c r="M53" t="str">
        <f t="shared" si="4"/>
        <v>CLEAN</v>
      </c>
      <c r="N53" t="str">
        <f t="shared" si="5"/>
        <v/>
      </c>
    </row>
    <row r="54" spans="1:14" x14ac:dyDescent="0.35">
      <c r="A54" t="s">
        <v>1047</v>
      </c>
      <c r="B54" t="s">
        <v>109</v>
      </c>
      <c r="C54" t="s">
        <v>12</v>
      </c>
      <c r="D54">
        <v>1</v>
      </c>
      <c r="E54">
        <v>218356.93</v>
      </c>
      <c r="F54">
        <v>218356.93</v>
      </c>
      <c r="G54" s="1">
        <v>45757</v>
      </c>
      <c r="H54" t="s">
        <v>135</v>
      </c>
      <c r="I54" t="str">
        <f t="shared" si="0"/>
        <v>OK</v>
      </c>
      <c r="J54" t="str">
        <f t="shared" si="1"/>
        <v>OK</v>
      </c>
      <c r="K54" t="str">
        <f t="shared" si="2"/>
        <v>Unique</v>
      </c>
      <c r="L54" t="str">
        <f t="shared" si="3"/>
        <v>OK</v>
      </c>
      <c r="M54" t="str">
        <f t="shared" si="4"/>
        <v>CLEAN</v>
      </c>
      <c r="N54" t="str">
        <f t="shared" si="5"/>
        <v/>
      </c>
    </row>
    <row r="55" spans="1:14" x14ac:dyDescent="0.35">
      <c r="A55" t="s">
        <v>136</v>
      </c>
      <c r="B55" t="s">
        <v>79</v>
      </c>
      <c r="C55" t="s">
        <v>17</v>
      </c>
      <c r="D55">
        <v>1</v>
      </c>
      <c r="E55">
        <v>211879.67999999999</v>
      </c>
      <c r="F55">
        <v>211879.67999999999</v>
      </c>
      <c r="G55" s="1">
        <v>45564</v>
      </c>
      <c r="H55" t="s">
        <v>137</v>
      </c>
      <c r="I55" t="str">
        <f t="shared" si="0"/>
        <v>OK</v>
      </c>
      <c r="J55" t="str">
        <f t="shared" si="1"/>
        <v>OK</v>
      </c>
      <c r="K55" t="str">
        <f t="shared" si="2"/>
        <v>Unique</v>
      </c>
      <c r="L55" t="str">
        <f t="shared" si="3"/>
        <v>OK</v>
      </c>
      <c r="M55" t="str">
        <f t="shared" si="4"/>
        <v>CLEAN</v>
      </c>
      <c r="N55" t="str">
        <f t="shared" si="5"/>
        <v/>
      </c>
    </row>
    <row r="56" spans="1:14" x14ac:dyDescent="0.35">
      <c r="A56" t="s">
        <v>138</v>
      </c>
      <c r="B56" t="s">
        <v>53</v>
      </c>
      <c r="C56" t="s">
        <v>12</v>
      </c>
      <c r="D56">
        <v>1</v>
      </c>
      <c r="E56">
        <v>155845.62</v>
      </c>
      <c r="F56">
        <v>155845.62</v>
      </c>
      <c r="G56" s="1">
        <v>45175</v>
      </c>
      <c r="H56" t="s">
        <v>139</v>
      </c>
      <c r="I56" t="str">
        <f t="shared" si="0"/>
        <v>OK</v>
      </c>
      <c r="J56" t="str">
        <f t="shared" si="1"/>
        <v>OK</v>
      </c>
      <c r="K56" t="str">
        <f t="shared" si="2"/>
        <v>Unique</v>
      </c>
      <c r="L56" t="str">
        <f t="shared" si="3"/>
        <v>OK</v>
      </c>
      <c r="M56" t="str">
        <f t="shared" si="4"/>
        <v>CLEAN</v>
      </c>
      <c r="N56" t="str">
        <f t="shared" si="5"/>
        <v/>
      </c>
    </row>
    <row r="57" spans="1:14" x14ac:dyDescent="0.35">
      <c r="A57" t="s">
        <v>140</v>
      </c>
      <c r="B57" t="s">
        <v>37</v>
      </c>
      <c r="C57" t="s">
        <v>90</v>
      </c>
      <c r="D57">
        <v>1</v>
      </c>
      <c r="E57">
        <v>168485.59</v>
      </c>
      <c r="F57">
        <v>168485.59</v>
      </c>
      <c r="G57" s="1">
        <v>45215</v>
      </c>
      <c r="H57" t="s">
        <v>141</v>
      </c>
      <c r="I57" t="str">
        <f t="shared" si="0"/>
        <v>OK</v>
      </c>
      <c r="J57" t="str">
        <f t="shared" si="1"/>
        <v>OK</v>
      </c>
      <c r="K57" t="str">
        <f t="shared" si="2"/>
        <v>Unique</v>
      </c>
      <c r="L57" t="str">
        <f t="shared" si="3"/>
        <v>OK</v>
      </c>
      <c r="M57" t="str">
        <f t="shared" si="4"/>
        <v>CLEAN</v>
      </c>
      <c r="N57" t="str">
        <f t="shared" si="5"/>
        <v/>
      </c>
    </row>
    <row r="58" spans="1:14" x14ac:dyDescent="0.35">
      <c r="A58" t="s">
        <v>142</v>
      </c>
      <c r="B58" t="s">
        <v>45</v>
      </c>
      <c r="C58" t="s">
        <v>70</v>
      </c>
      <c r="D58">
        <v>1</v>
      </c>
      <c r="E58">
        <v>299437.8</v>
      </c>
      <c r="F58">
        <v>299437.8</v>
      </c>
      <c r="G58" s="1">
        <v>45364</v>
      </c>
      <c r="H58" t="s">
        <v>1103</v>
      </c>
      <c r="I58" t="str">
        <f t="shared" si="0"/>
        <v>OK</v>
      </c>
      <c r="J58" t="str">
        <f t="shared" si="1"/>
        <v>OK</v>
      </c>
      <c r="K58" t="str">
        <f t="shared" si="2"/>
        <v>Unique</v>
      </c>
      <c r="L58" t="str">
        <f t="shared" si="3"/>
        <v>OK</v>
      </c>
      <c r="M58" t="str">
        <f t="shared" si="4"/>
        <v>CLEAN</v>
      </c>
      <c r="N58" t="str">
        <f t="shared" si="5"/>
        <v/>
      </c>
    </row>
    <row r="59" spans="1:14" x14ac:dyDescent="0.35">
      <c r="A59" t="s">
        <v>143</v>
      </c>
      <c r="B59" t="s">
        <v>20</v>
      </c>
      <c r="C59" t="s">
        <v>90</v>
      </c>
      <c r="D59">
        <v>1</v>
      </c>
      <c r="E59">
        <v>143772.10999999999</v>
      </c>
      <c r="F59">
        <v>143772.10999999999</v>
      </c>
      <c r="G59" s="1">
        <v>45616</v>
      </c>
      <c r="H59" s="2" t="s">
        <v>144</v>
      </c>
      <c r="I59" t="str">
        <f t="shared" si="0"/>
        <v>OK</v>
      </c>
      <c r="J59" t="str">
        <f t="shared" si="1"/>
        <v>OK</v>
      </c>
      <c r="K59" t="str">
        <f t="shared" si="2"/>
        <v>Unique</v>
      </c>
      <c r="L59" t="str">
        <f t="shared" si="3"/>
        <v>OK</v>
      </c>
      <c r="M59" t="str">
        <f t="shared" si="4"/>
        <v>CLEAN</v>
      </c>
      <c r="N59" t="str">
        <f t="shared" si="5"/>
        <v/>
      </c>
    </row>
    <row r="60" spans="1:14" x14ac:dyDescent="0.35">
      <c r="A60" t="s">
        <v>145</v>
      </c>
      <c r="B60" t="s">
        <v>131</v>
      </c>
      <c r="C60" t="s">
        <v>46</v>
      </c>
      <c r="D60">
        <v>1</v>
      </c>
      <c r="E60">
        <v>113359.02</v>
      </c>
      <c r="F60">
        <v>113359.02</v>
      </c>
      <c r="G60" s="1">
        <v>45175</v>
      </c>
      <c r="H60" t="s">
        <v>146</v>
      </c>
      <c r="I60" t="str">
        <f t="shared" si="0"/>
        <v>OK</v>
      </c>
      <c r="J60" t="str">
        <f t="shared" si="1"/>
        <v>OK</v>
      </c>
      <c r="K60" t="str">
        <f t="shared" si="2"/>
        <v>Unique</v>
      </c>
      <c r="L60" t="str">
        <f t="shared" si="3"/>
        <v>OK</v>
      </c>
      <c r="M60" t="str">
        <f t="shared" si="4"/>
        <v>CLEAN</v>
      </c>
      <c r="N60" t="str">
        <f t="shared" si="5"/>
        <v/>
      </c>
    </row>
    <row r="61" spans="1:14" x14ac:dyDescent="0.35">
      <c r="A61" t="s">
        <v>147</v>
      </c>
      <c r="B61" t="s">
        <v>37</v>
      </c>
      <c r="C61" t="s">
        <v>70</v>
      </c>
      <c r="D61">
        <v>1</v>
      </c>
      <c r="E61">
        <v>287027.3</v>
      </c>
      <c r="F61">
        <v>287027.3</v>
      </c>
      <c r="G61" s="1">
        <v>45467</v>
      </c>
      <c r="H61" t="s">
        <v>148</v>
      </c>
      <c r="I61" t="str">
        <f t="shared" si="0"/>
        <v>OK</v>
      </c>
      <c r="J61" t="str">
        <f t="shared" si="1"/>
        <v>OK</v>
      </c>
      <c r="K61" t="str">
        <f t="shared" si="2"/>
        <v>Unique</v>
      </c>
      <c r="L61" t="str">
        <f t="shared" si="3"/>
        <v>OK</v>
      </c>
      <c r="M61" t="str">
        <f t="shared" si="4"/>
        <v>CLEAN</v>
      </c>
      <c r="N61" t="str">
        <f t="shared" si="5"/>
        <v/>
      </c>
    </row>
    <row r="62" spans="1:14" x14ac:dyDescent="0.35">
      <c r="A62" t="s">
        <v>149</v>
      </c>
      <c r="B62" t="s">
        <v>20</v>
      </c>
      <c r="C62" t="s">
        <v>12</v>
      </c>
      <c r="D62">
        <v>1</v>
      </c>
      <c r="E62">
        <v>0</v>
      </c>
      <c r="F62">
        <v>0</v>
      </c>
      <c r="G62" s="1">
        <v>45479</v>
      </c>
      <c r="H62" t="s">
        <v>150</v>
      </c>
      <c r="I62" t="str">
        <f t="shared" si="0"/>
        <v>Check Price</v>
      </c>
      <c r="J62" t="str">
        <f t="shared" si="1"/>
        <v>Zero Sale</v>
      </c>
      <c r="K62" t="str">
        <f t="shared" si="2"/>
        <v>Unique</v>
      </c>
      <c r="L62" t="str">
        <f t="shared" si="3"/>
        <v>OK</v>
      </c>
      <c r="M62" t="str">
        <f t="shared" si="4"/>
        <v>EXCEPTION</v>
      </c>
      <c r="N62" t="str">
        <f t="shared" si="5"/>
        <v>Price Issue, Zero Sale</v>
      </c>
    </row>
    <row r="63" spans="1:14" x14ac:dyDescent="0.35">
      <c r="A63" t="s">
        <v>151</v>
      </c>
      <c r="B63" t="s">
        <v>31</v>
      </c>
      <c r="C63" t="s">
        <v>17</v>
      </c>
      <c r="D63">
        <v>93</v>
      </c>
      <c r="E63">
        <v>138169.23000000001</v>
      </c>
      <c r="F63">
        <v>12849738.390000001</v>
      </c>
      <c r="G63" s="1">
        <v>45646</v>
      </c>
      <c r="H63" t="s">
        <v>152</v>
      </c>
      <c r="I63" t="str">
        <f t="shared" si="0"/>
        <v>OK</v>
      </c>
      <c r="J63" t="str">
        <f t="shared" si="1"/>
        <v>OK</v>
      </c>
      <c r="K63" t="str">
        <f t="shared" si="2"/>
        <v>Unique</v>
      </c>
      <c r="L63" t="str">
        <f t="shared" si="3"/>
        <v>OK</v>
      </c>
      <c r="M63" t="str">
        <f t="shared" si="4"/>
        <v>CLEAN</v>
      </c>
      <c r="N63" t="str">
        <f t="shared" si="5"/>
        <v/>
      </c>
    </row>
    <row r="64" spans="1:14" x14ac:dyDescent="0.35">
      <c r="A64" t="s">
        <v>153</v>
      </c>
      <c r="B64" t="s">
        <v>105</v>
      </c>
      <c r="C64" t="s">
        <v>12</v>
      </c>
      <c r="D64">
        <v>1</v>
      </c>
      <c r="E64">
        <v>160171.56</v>
      </c>
      <c r="F64">
        <v>160171.56</v>
      </c>
      <c r="G64" s="1">
        <v>45519</v>
      </c>
      <c r="H64" t="s">
        <v>154</v>
      </c>
      <c r="I64" t="str">
        <f t="shared" si="0"/>
        <v>OK</v>
      </c>
      <c r="J64" t="str">
        <f t="shared" si="1"/>
        <v>OK</v>
      </c>
      <c r="K64" t="str">
        <f t="shared" si="2"/>
        <v>Unique</v>
      </c>
      <c r="L64" t="str">
        <f t="shared" si="3"/>
        <v>OK</v>
      </c>
      <c r="M64" t="str">
        <f t="shared" si="4"/>
        <v>CLEAN</v>
      </c>
      <c r="N64" t="str">
        <f t="shared" si="5"/>
        <v/>
      </c>
    </row>
    <row r="65" spans="1:14" x14ac:dyDescent="0.35">
      <c r="A65" t="s">
        <v>155</v>
      </c>
      <c r="B65" t="s">
        <v>16</v>
      </c>
      <c r="C65" t="s">
        <v>90</v>
      </c>
      <c r="D65">
        <v>1</v>
      </c>
      <c r="E65">
        <v>164108.82999999999</v>
      </c>
      <c r="F65">
        <v>164108.82999999999</v>
      </c>
      <c r="G65" s="1">
        <v>45385</v>
      </c>
      <c r="H65" t="s">
        <v>156</v>
      </c>
      <c r="I65" t="str">
        <f t="shared" si="0"/>
        <v>OK</v>
      </c>
      <c r="J65" t="str">
        <f t="shared" si="1"/>
        <v>OK</v>
      </c>
      <c r="K65" t="str">
        <f t="shared" si="2"/>
        <v>Unique</v>
      </c>
      <c r="L65" t="str">
        <f t="shared" si="3"/>
        <v>OK</v>
      </c>
      <c r="M65" t="str">
        <f t="shared" si="4"/>
        <v>CLEAN</v>
      </c>
      <c r="N65" t="str">
        <f t="shared" si="5"/>
        <v/>
      </c>
    </row>
    <row r="66" spans="1:14" x14ac:dyDescent="0.35">
      <c r="A66" t="s">
        <v>157</v>
      </c>
      <c r="B66" t="s">
        <v>76</v>
      </c>
      <c r="C66" t="s">
        <v>23</v>
      </c>
      <c r="D66">
        <v>1</v>
      </c>
      <c r="E66">
        <v>202922.64</v>
      </c>
      <c r="F66">
        <v>202922.64</v>
      </c>
      <c r="G66" s="1">
        <v>45217</v>
      </c>
      <c r="H66" t="s">
        <v>158</v>
      </c>
      <c r="I66" t="str">
        <f t="shared" si="0"/>
        <v>OK</v>
      </c>
      <c r="J66" t="str">
        <f t="shared" si="1"/>
        <v>OK</v>
      </c>
      <c r="K66" t="str">
        <f t="shared" si="2"/>
        <v>Unique</v>
      </c>
      <c r="L66" t="str">
        <f t="shared" si="3"/>
        <v>OK</v>
      </c>
      <c r="M66" t="str">
        <f t="shared" si="4"/>
        <v>CLEAN</v>
      </c>
      <c r="N66" t="str">
        <f t="shared" ref="N66:N129" si="6">_xlfn.TEXTJOIN(", ",TRUE,
IF(I66&lt;&gt;"OK","Price Issue",""),
IF(J66&lt;&gt;"OK","Zero Sale",""),
IF(K66&lt;&gt;"Unique","Duplicate Order",""),
IF(L66&lt;&gt;"OK","Missing Date","")
)</f>
        <v/>
      </c>
    </row>
    <row r="67" spans="1:14" x14ac:dyDescent="0.35">
      <c r="A67" t="s">
        <v>1047</v>
      </c>
      <c r="B67" t="s">
        <v>109</v>
      </c>
      <c r="C67" t="s">
        <v>70</v>
      </c>
      <c r="D67">
        <v>1</v>
      </c>
      <c r="E67">
        <v>260362.49</v>
      </c>
      <c r="F67">
        <v>260362.49</v>
      </c>
      <c r="G67" s="1">
        <v>45799</v>
      </c>
      <c r="H67" t="s">
        <v>159</v>
      </c>
      <c r="I67" t="str">
        <f t="shared" ref="I67:I130" si="7">IF(E67=0,"Check Price","OK")</f>
        <v>OK</v>
      </c>
      <c r="J67" t="str">
        <f t="shared" ref="J67:J130" si="8">IF(F67=0,"Zero Sale","OK")</f>
        <v>OK</v>
      </c>
      <c r="K67" t="str">
        <f t="shared" ref="K67:K130" si="9">IF(COUNTIF($H:$H,H67)&gt;1,"Duplicate","Unique")</f>
        <v>Unique</v>
      </c>
      <c r="L67" t="str">
        <f t="shared" ref="L67:L130" si="10">IF(G67="","Missing Date","OK")</f>
        <v>OK</v>
      </c>
      <c r="M67" t="str">
        <f t="shared" ref="M67:M130" si="11">IF(COUNTIF(I67:J67,"&lt;&gt;OK")&gt;0,"EXCEPTION","CLEAN")</f>
        <v>CLEAN</v>
      </c>
      <c r="N67" t="str">
        <f t="shared" si="6"/>
        <v/>
      </c>
    </row>
    <row r="68" spans="1:14" x14ac:dyDescent="0.35">
      <c r="A68" t="s">
        <v>160</v>
      </c>
      <c r="B68" t="s">
        <v>85</v>
      </c>
      <c r="C68" t="s">
        <v>55</v>
      </c>
      <c r="D68">
        <v>94</v>
      </c>
      <c r="E68">
        <v>204383.39</v>
      </c>
      <c r="F68">
        <v>19212038.66</v>
      </c>
      <c r="G68" s="1">
        <v>45761</v>
      </c>
      <c r="H68" t="s">
        <v>161</v>
      </c>
      <c r="I68" t="str">
        <f t="shared" si="7"/>
        <v>OK</v>
      </c>
      <c r="J68" t="str">
        <f t="shared" si="8"/>
        <v>OK</v>
      </c>
      <c r="K68" t="str">
        <f t="shared" si="9"/>
        <v>Unique</v>
      </c>
      <c r="L68" t="str">
        <f t="shared" si="10"/>
        <v>OK</v>
      </c>
      <c r="M68" t="str">
        <f t="shared" si="11"/>
        <v>CLEAN</v>
      </c>
      <c r="N68" t="str">
        <f t="shared" si="6"/>
        <v/>
      </c>
    </row>
    <row r="69" spans="1:14" x14ac:dyDescent="0.35">
      <c r="A69" t="s">
        <v>162</v>
      </c>
      <c r="B69" t="s">
        <v>109</v>
      </c>
      <c r="C69" t="s">
        <v>27</v>
      </c>
      <c r="D69">
        <v>1</v>
      </c>
      <c r="E69">
        <v>241193.93</v>
      </c>
      <c r="F69">
        <v>241193.93</v>
      </c>
      <c r="G69" s="1">
        <v>45724</v>
      </c>
      <c r="H69" t="s">
        <v>163</v>
      </c>
      <c r="I69" t="str">
        <f t="shared" si="7"/>
        <v>OK</v>
      </c>
      <c r="J69" t="str">
        <f t="shared" si="8"/>
        <v>OK</v>
      </c>
      <c r="K69" t="str">
        <f t="shared" si="9"/>
        <v>Unique</v>
      </c>
      <c r="L69" t="str">
        <f t="shared" si="10"/>
        <v>OK</v>
      </c>
      <c r="M69" t="str">
        <f t="shared" si="11"/>
        <v>CLEAN</v>
      </c>
      <c r="N69" t="str">
        <f t="shared" si="6"/>
        <v/>
      </c>
    </row>
    <row r="70" spans="1:14" x14ac:dyDescent="0.35">
      <c r="A70" t="s">
        <v>164</v>
      </c>
      <c r="B70" t="s">
        <v>109</v>
      </c>
      <c r="C70" t="s">
        <v>17</v>
      </c>
      <c r="D70">
        <v>1</v>
      </c>
      <c r="E70">
        <v>79676.47</v>
      </c>
      <c r="F70">
        <v>79676.47</v>
      </c>
      <c r="G70" s="1">
        <v>45546</v>
      </c>
      <c r="H70" t="s">
        <v>165</v>
      </c>
      <c r="I70" t="str">
        <f t="shared" si="7"/>
        <v>OK</v>
      </c>
      <c r="J70" t="str">
        <f t="shared" si="8"/>
        <v>OK</v>
      </c>
      <c r="K70" t="str">
        <f t="shared" si="9"/>
        <v>Unique</v>
      </c>
      <c r="L70" t="str">
        <f t="shared" si="10"/>
        <v>OK</v>
      </c>
      <c r="M70" t="str">
        <f t="shared" si="11"/>
        <v>CLEAN</v>
      </c>
      <c r="N70" t="str">
        <f t="shared" si="6"/>
        <v/>
      </c>
    </row>
    <row r="71" spans="1:14" x14ac:dyDescent="0.35">
      <c r="A71" t="s">
        <v>166</v>
      </c>
      <c r="B71" t="s">
        <v>53</v>
      </c>
      <c r="C71" t="s">
        <v>55</v>
      </c>
      <c r="D71">
        <v>1</v>
      </c>
      <c r="E71">
        <v>145511.94</v>
      </c>
      <c r="F71">
        <v>145511.94</v>
      </c>
      <c r="G71" s="1">
        <v>45614</v>
      </c>
      <c r="H71" t="s">
        <v>167</v>
      </c>
      <c r="I71" t="str">
        <f t="shared" si="7"/>
        <v>OK</v>
      </c>
      <c r="J71" t="str">
        <f t="shared" si="8"/>
        <v>OK</v>
      </c>
      <c r="K71" t="str">
        <f t="shared" si="9"/>
        <v>Unique</v>
      </c>
      <c r="L71" t="str">
        <f t="shared" si="10"/>
        <v>OK</v>
      </c>
      <c r="M71" t="str">
        <f t="shared" si="11"/>
        <v>CLEAN</v>
      </c>
      <c r="N71" t="str">
        <f t="shared" si="6"/>
        <v/>
      </c>
    </row>
    <row r="72" spans="1:14" x14ac:dyDescent="0.35">
      <c r="A72" t="s">
        <v>168</v>
      </c>
      <c r="B72" t="s">
        <v>16</v>
      </c>
      <c r="C72" t="s">
        <v>55</v>
      </c>
      <c r="D72">
        <v>1</v>
      </c>
      <c r="E72">
        <v>0</v>
      </c>
      <c r="F72">
        <v>0</v>
      </c>
      <c r="G72" s="1">
        <v>45574</v>
      </c>
      <c r="H72" t="s">
        <v>1104</v>
      </c>
      <c r="I72" t="str">
        <f t="shared" si="7"/>
        <v>Check Price</v>
      </c>
      <c r="J72" t="str">
        <f t="shared" si="8"/>
        <v>Zero Sale</v>
      </c>
      <c r="K72" t="str">
        <f t="shared" si="9"/>
        <v>Unique</v>
      </c>
      <c r="L72" t="str">
        <f t="shared" si="10"/>
        <v>OK</v>
      </c>
      <c r="M72" t="str">
        <f t="shared" si="11"/>
        <v>EXCEPTION</v>
      </c>
      <c r="N72" t="str">
        <f t="shared" si="6"/>
        <v>Price Issue, Zero Sale</v>
      </c>
    </row>
    <row r="73" spans="1:14" x14ac:dyDescent="0.35">
      <c r="A73" t="s">
        <v>169</v>
      </c>
      <c r="B73" t="s">
        <v>37</v>
      </c>
      <c r="C73" t="s">
        <v>70</v>
      </c>
      <c r="D73">
        <v>61</v>
      </c>
      <c r="E73">
        <v>287222.55</v>
      </c>
      <c r="F73">
        <v>17520575.550000001</v>
      </c>
      <c r="G73" s="1">
        <v>45259</v>
      </c>
      <c r="H73" t="s">
        <v>170</v>
      </c>
      <c r="I73" t="str">
        <f t="shared" si="7"/>
        <v>OK</v>
      </c>
      <c r="J73" t="str">
        <f t="shared" si="8"/>
        <v>OK</v>
      </c>
      <c r="K73" t="str">
        <f t="shared" si="9"/>
        <v>Unique</v>
      </c>
      <c r="L73" t="str">
        <f t="shared" si="10"/>
        <v>OK</v>
      </c>
      <c r="M73" t="str">
        <f t="shared" si="11"/>
        <v>CLEAN</v>
      </c>
      <c r="N73" t="str">
        <f t="shared" si="6"/>
        <v/>
      </c>
    </row>
    <row r="74" spans="1:14" x14ac:dyDescent="0.35">
      <c r="A74" t="s">
        <v>171</v>
      </c>
      <c r="B74" t="s">
        <v>61</v>
      </c>
      <c r="C74" t="s">
        <v>23</v>
      </c>
      <c r="D74">
        <v>12</v>
      </c>
      <c r="E74">
        <v>84062.42</v>
      </c>
      <c r="F74">
        <v>1008749.04</v>
      </c>
      <c r="G74" s="1">
        <v>45714</v>
      </c>
      <c r="H74" t="s">
        <v>172</v>
      </c>
      <c r="I74" t="str">
        <f t="shared" si="7"/>
        <v>OK</v>
      </c>
      <c r="J74" t="str">
        <f t="shared" si="8"/>
        <v>OK</v>
      </c>
      <c r="K74" t="str">
        <f t="shared" si="9"/>
        <v>Unique</v>
      </c>
      <c r="L74" t="str">
        <f t="shared" si="10"/>
        <v>OK</v>
      </c>
      <c r="M74" t="str">
        <f t="shared" si="11"/>
        <v>CLEAN</v>
      </c>
      <c r="N74" t="str">
        <f t="shared" si="6"/>
        <v/>
      </c>
    </row>
    <row r="75" spans="1:14" x14ac:dyDescent="0.35">
      <c r="A75" t="s">
        <v>173</v>
      </c>
      <c r="B75" t="s">
        <v>85</v>
      </c>
      <c r="C75" t="s">
        <v>70</v>
      </c>
      <c r="D75">
        <v>1</v>
      </c>
      <c r="E75">
        <v>89900.5</v>
      </c>
      <c r="F75">
        <v>89900.5</v>
      </c>
      <c r="G75" s="1">
        <v>45218</v>
      </c>
      <c r="H75" t="s">
        <v>174</v>
      </c>
      <c r="I75" t="str">
        <f t="shared" si="7"/>
        <v>OK</v>
      </c>
      <c r="J75" t="str">
        <f t="shared" si="8"/>
        <v>OK</v>
      </c>
      <c r="K75" t="str">
        <f t="shared" si="9"/>
        <v>Unique</v>
      </c>
      <c r="L75" t="str">
        <f t="shared" si="10"/>
        <v>OK</v>
      </c>
      <c r="M75" t="str">
        <f t="shared" si="11"/>
        <v>CLEAN</v>
      </c>
      <c r="N75" t="str">
        <f t="shared" si="6"/>
        <v/>
      </c>
    </row>
    <row r="76" spans="1:14" x14ac:dyDescent="0.35">
      <c r="A76" t="s">
        <v>175</v>
      </c>
      <c r="B76" t="s">
        <v>34</v>
      </c>
      <c r="C76" t="s">
        <v>23</v>
      </c>
      <c r="D76">
        <v>1</v>
      </c>
      <c r="E76">
        <v>282474.92</v>
      </c>
      <c r="F76">
        <v>282474.92</v>
      </c>
      <c r="G76" s="1">
        <v>45454</v>
      </c>
      <c r="H76" t="s">
        <v>176</v>
      </c>
      <c r="I76" t="str">
        <f t="shared" si="7"/>
        <v>OK</v>
      </c>
      <c r="J76" t="str">
        <f t="shared" si="8"/>
        <v>OK</v>
      </c>
      <c r="K76" t="str">
        <f t="shared" si="9"/>
        <v>Unique</v>
      </c>
      <c r="L76" t="str">
        <f t="shared" si="10"/>
        <v>OK</v>
      </c>
      <c r="M76" t="str">
        <f t="shared" si="11"/>
        <v>CLEAN</v>
      </c>
      <c r="N76" t="str">
        <f t="shared" si="6"/>
        <v/>
      </c>
    </row>
    <row r="77" spans="1:14" x14ac:dyDescent="0.35">
      <c r="A77" t="s">
        <v>177</v>
      </c>
      <c r="B77" t="s">
        <v>20</v>
      </c>
      <c r="C77" t="s">
        <v>46</v>
      </c>
      <c r="D77">
        <v>1</v>
      </c>
      <c r="E77">
        <v>294686.96000000002</v>
      </c>
      <c r="F77">
        <v>294686.96000000002</v>
      </c>
      <c r="G77" s="1">
        <v>45508</v>
      </c>
      <c r="H77" t="s">
        <v>178</v>
      </c>
      <c r="I77" t="str">
        <f t="shared" si="7"/>
        <v>OK</v>
      </c>
      <c r="J77" t="str">
        <f t="shared" si="8"/>
        <v>OK</v>
      </c>
      <c r="K77" t="str">
        <f t="shared" si="9"/>
        <v>Unique</v>
      </c>
      <c r="L77" t="str">
        <f t="shared" si="10"/>
        <v>OK</v>
      </c>
      <c r="M77" t="str">
        <f t="shared" si="11"/>
        <v>CLEAN</v>
      </c>
      <c r="N77" t="str">
        <f t="shared" si="6"/>
        <v/>
      </c>
    </row>
    <row r="78" spans="1:14" x14ac:dyDescent="0.35">
      <c r="A78" t="s">
        <v>179</v>
      </c>
      <c r="B78" t="s">
        <v>85</v>
      </c>
      <c r="C78" t="s">
        <v>17</v>
      </c>
      <c r="D78">
        <v>1</v>
      </c>
      <c r="E78">
        <v>231466.69</v>
      </c>
      <c r="F78">
        <v>231466.69</v>
      </c>
      <c r="G78" s="1">
        <v>45825</v>
      </c>
      <c r="H78" t="s">
        <v>180</v>
      </c>
      <c r="I78" t="str">
        <f t="shared" si="7"/>
        <v>OK</v>
      </c>
      <c r="J78" t="str">
        <f t="shared" si="8"/>
        <v>OK</v>
      </c>
      <c r="K78" t="str">
        <f t="shared" si="9"/>
        <v>Unique</v>
      </c>
      <c r="L78" t="str">
        <f t="shared" si="10"/>
        <v>OK</v>
      </c>
      <c r="M78" t="str">
        <f t="shared" si="11"/>
        <v>CLEAN</v>
      </c>
      <c r="N78" t="str">
        <f t="shared" si="6"/>
        <v/>
      </c>
    </row>
    <row r="79" spans="1:14" x14ac:dyDescent="0.35">
      <c r="A79" t="s">
        <v>181</v>
      </c>
      <c r="B79" t="s">
        <v>76</v>
      </c>
      <c r="C79" t="s">
        <v>90</v>
      </c>
      <c r="D79">
        <v>1</v>
      </c>
      <c r="E79">
        <v>211617.83</v>
      </c>
      <c r="F79">
        <v>211617.83</v>
      </c>
      <c r="G79" s="1">
        <v>45792</v>
      </c>
      <c r="H79" t="s">
        <v>182</v>
      </c>
      <c r="I79" t="str">
        <f t="shared" si="7"/>
        <v>OK</v>
      </c>
      <c r="J79" t="str">
        <f t="shared" si="8"/>
        <v>OK</v>
      </c>
      <c r="K79" t="str">
        <f t="shared" si="9"/>
        <v>Unique</v>
      </c>
      <c r="L79" t="str">
        <f t="shared" si="10"/>
        <v>OK</v>
      </c>
      <c r="M79" t="str">
        <f t="shared" si="11"/>
        <v>CLEAN</v>
      </c>
      <c r="N79" t="str">
        <f t="shared" si="6"/>
        <v/>
      </c>
    </row>
    <row r="80" spans="1:14" x14ac:dyDescent="0.35">
      <c r="A80" t="s">
        <v>1047</v>
      </c>
      <c r="B80" t="s">
        <v>105</v>
      </c>
      <c r="C80" t="s">
        <v>90</v>
      </c>
      <c r="D80">
        <v>1</v>
      </c>
      <c r="E80">
        <v>207226.85</v>
      </c>
      <c r="F80">
        <v>207226.85</v>
      </c>
      <c r="G80" s="1">
        <v>45161</v>
      </c>
      <c r="H80" t="s">
        <v>183</v>
      </c>
      <c r="I80" t="str">
        <f t="shared" si="7"/>
        <v>OK</v>
      </c>
      <c r="J80" t="str">
        <f t="shared" si="8"/>
        <v>OK</v>
      </c>
      <c r="K80" t="str">
        <f t="shared" si="9"/>
        <v>Unique</v>
      </c>
      <c r="L80" t="str">
        <f t="shared" si="10"/>
        <v>OK</v>
      </c>
      <c r="M80" t="str">
        <f t="shared" si="11"/>
        <v>CLEAN</v>
      </c>
      <c r="N80" t="str">
        <f t="shared" si="6"/>
        <v/>
      </c>
    </row>
    <row r="81" spans="1:14" x14ac:dyDescent="0.35">
      <c r="A81" t="s">
        <v>184</v>
      </c>
      <c r="B81" t="s">
        <v>16</v>
      </c>
      <c r="C81" t="s">
        <v>55</v>
      </c>
      <c r="D81">
        <v>1</v>
      </c>
      <c r="E81">
        <v>146956.42000000001</v>
      </c>
      <c r="F81">
        <v>146956.42000000001</v>
      </c>
      <c r="G81" s="1">
        <v>45763</v>
      </c>
      <c r="H81" t="s">
        <v>185</v>
      </c>
      <c r="I81" t="str">
        <f t="shared" si="7"/>
        <v>OK</v>
      </c>
      <c r="J81" t="str">
        <f t="shared" si="8"/>
        <v>OK</v>
      </c>
      <c r="K81" t="str">
        <f t="shared" si="9"/>
        <v>Unique</v>
      </c>
      <c r="L81" t="str">
        <f t="shared" si="10"/>
        <v>OK</v>
      </c>
      <c r="M81" t="str">
        <f t="shared" si="11"/>
        <v>CLEAN</v>
      </c>
      <c r="N81" t="str">
        <f t="shared" si="6"/>
        <v/>
      </c>
    </row>
    <row r="82" spans="1:14" x14ac:dyDescent="0.35">
      <c r="A82" t="s">
        <v>186</v>
      </c>
      <c r="B82" t="s">
        <v>34</v>
      </c>
      <c r="C82" t="s">
        <v>27</v>
      </c>
      <c r="D82">
        <v>1</v>
      </c>
      <c r="E82">
        <v>0</v>
      </c>
      <c r="F82">
        <v>0</v>
      </c>
      <c r="G82" s="1">
        <v>45214</v>
      </c>
      <c r="H82" t="s">
        <v>187</v>
      </c>
      <c r="I82" t="str">
        <f t="shared" si="7"/>
        <v>Check Price</v>
      </c>
      <c r="J82" t="str">
        <f t="shared" si="8"/>
        <v>Zero Sale</v>
      </c>
      <c r="K82" t="str">
        <f t="shared" si="9"/>
        <v>Unique</v>
      </c>
      <c r="L82" t="str">
        <f t="shared" si="10"/>
        <v>OK</v>
      </c>
      <c r="M82" t="str">
        <f t="shared" si="11"/>
        <v>EXCEPTION</v>
      </c>
      <c r="N82" t="str">
        <f t="shared" si="6"/>
        <v>Price Issue, Zero Sale</v>
      </c>
    </row>
    <row r="83" spans="1:14" x14ac:dyDescent="0.35">
      <c r="A83" t="s">
        <v>188</v>
      </c>
      <c r="B83" t="s">
        <v>20</v>
      </c>
      <c r="C83" t="s">
        <v>46</v>
      </c>
      <c r="D83">
        <v>1</v>
      </c>
      <c r="E83">
        <v>144201.13</v>
      </c>
      <c r="F83">
        <v>144201.13</v>
      </c>
      <c r="G83" s="1">
        <v>45520</v>
      </c>
      <c r="H83" t="s">
        <v>189</v>
      </c>
      <c r="I83" t="str">
        <f t="shared" si="7"/>
        <v>OK</v>
      </c>
      <c r="J83" t="str">
        <f t="shared" si="8"/>
        <v>OK</v>
      </c>
      <c r="K83" t="str">
        <f t="shared" si="9"/>
        <v>Unique</v>
      </c>
      <c r="L83" t="str">
        <f t="shared" si="10"/>
        <v>OK</v>
      </c>
      <c r="M83" t="str">
        <f t="shared" si="11"/>
        <v>CLEAN</v>
      </c>
      <c r="N83" t="str">
        <f t="shared" si="6"/>
        <v/>
      </c>
    </row>
    <row r="84" spans="1:14" x14ac:dyDescent="0.35">
      <c r="A84" t="s">
        <v>190</v>
      </c>
      <c r="B84" t="s">
        <v>89</v>
      </c>
      <c r="C84" t="s">
        <v>90</v>
      </c>
      <c r="D84">
        <v>1</v>
      </c>
      <c r="E84">
        <v>168366.03</v>
      </c>
      <c r="F84">
        <v>168366.03</v>
      </c>
      <c r="G84" s="1">
        <v>45236</v>
      </c>
      <c r="H84" t="s">
        <v>191</v>
      </c>
      <c r="I84" t="str">
        <f t="shared" si="7"/>
        <v>OK</v>
      </c>
      <c r="J84" t="str">
        <f t="shared" si="8"/>
        <v>OK</v>
      </c>
      <c r="K84" t="str">
        <f t="shared" si="9"/>
        <v>Unique</v>
      </c>
      <c r="L84" t="str">
        <f t="shared" si="10"/>
        <v>OK</v>
      </c>
      <c r="M84" t="str">
        <f t="shared" si="11"/>
        <v>CLEAN</v>
      </c>
      <c r="N84" t="str">
        <f t="shared" si="6"/>
        <v/>
      </c>
    </row>
    <row r="85" spans="1:14" x14ac:dyDescent="0.35">
      <c r="A85" t="s">
        <v>192</v>
      </c>
      <c r="B85" t="s">
        <v>45</v>
      </c>
      <c r="C85" t="s">
        <v>90</v>
      </c>
      <c r="D85">
        <v>93</v>
      </c>
      <c r="E85">
        <v>280378.37</v>
      </c>
      <c r="F85">
        <v>26075188.41</v>
      </c>
      <c r="G85" s="1">
        <v>45354</v>
      </c>
      <c r="H85" t="s">
        <v>193</v>
      </c>
      <c r="I85" t="str">
        <f t="shared" si="7"/>
        <v>OK</v>
      </c>
      <c r="J85" t="str">
        <f t="shared" si="8"/>
        <v>OK</v>
      </c>
      <c r="K85" t="str">
        <f t="shared" si="9"/>
        <v>Unique</v>
      </c>
      <c r="L85" t="str">
        <f t="shared" si="10"/>
        <v>OK</v>
      </c>
      <c r="M85" t="str">
        <f t="shared" si="11"/>
        <v>CLEAN</v>
      </c>
      <c r="N85" t="str">
        <f t="shared" si="6"/>
        <v/>
      </c>
    </row>
    <row r="86" spans="1:14" x14ac:dyDescent="0.35">
      <c r="A86" t="s">
        <v>194</v>
      </c>
      <c r="B86" t="s">
        <v>20</v>
      </c>
      <c r="C86" t="s">
        <v>27</v>
      </c>
      <c r="D86">
        <v>1</v>
      </c>
      <c r="E86">
        <v>216638.48</v>
      </c>
      <c r="F86">
        <v>216638.48</v>
      </c>
      <c r="G86" s="1">
        <v>45245</v>
      </c>
      <c r="H86" t="s">
        <v>1105</v>
      </c>
      <c r="I86" t="str">
        <f t="shared" si="7"/>
        <v>OK</v>
      </c>
      <c r="J86" t="str">
        <f t="shared" si="8"/>
        <v>OK</v>
      </c>
      <c r="K86" t="str">
        <f t="shared" si="9"/>
        <v>Unique</v>
      </c>
      <c r="L86" t="str">
        <f t="shared" si="10"/>
        <v>OK</v>
      </c>
      <c r="M86" t="str">
        <f t="shared" si="11"/>
        <v>CLEAN</v>
      </c>
      <c r="N86" t="str">
        <f t="shared" si="6"/>
        <v/>
      </c>
    </row>
    <row r="87" spans="1:14" x14ac:dyDescent="0.35">
      <c r="A87" t="s">
        <v>195</v>
      </c>
      <c r="B87" t="s">
        <v>45</v>
      </c>
      <c r="C87" t="s">
        <v>27</v>
      </c>
      <c r="D87">
        <v>1</v>
      </c>
      <c r="E87">
        <v>86692.92</v>
      </c>
      <c r="F87">
        <v>86692.92</v>
      </c>
      <c r="G87" s="1">
        <v>45243</v>
      </c>
      <c r="H87" t="s">
        <v>196</v>
      </c>
      <c r="I87" t="str">
        <f t="shared" si="7"/>
        <v>OK</v>
      </c>
      <c r="J87" t="str">
        <f t="shared" si="8"/>
        <v>OK</v>
      </c>
      <c r="K87" t="str">
        <f t="shared" si="9"/>
        <v>Unique</v>
      </c>
      <c r="L87" t="str">
        <f t="shared" si="10"/>
        <v>OK</v>
      </c>
      <c r="M87" t="str">
        <f t="shared" si="11"/>
        <v>CLEAN</v>
      </c>
      <c r="N87" t="str">
        <f t="shared" si="6"/>
        <v/>
      </c>
    </row>
    <row r="88" spans="1:14" x14ac:dyDescent="0.35">
      <c r="A88" t="s">
        <v>197</v>
      </c>
      <c r="B88" t="s">
        <v>89</v>
      </c>
      <c r="C88" t="s">
        <v>90</v>
      </c>
      <c r="D88">
        <v>1</v>
      </c>
      <c r="E88">
        <v>172256.3</v>
      </c>
      <c r="F88">
        <v>172256.3</v>
      </c>
      <c r="G88" s="1">
        <v>45368</v>
      </c>
      <c r="H88" t="s">
        <v>198</v>
      </c>
      <c r="I88" t="str">
        <f t="shared" si="7"/>
        <v>OK</v>
      </c>
      <c r="J88" t="str">
        <f t="shared" si="8"/>
        <v>OK</v>
      </c>
      <c r="K88" t="str">
        <f t="shared" si="9"/>
        <v>Unique</v>
      </c>
      <c r="L88" t="str">
        <f t="shared" si="10"/>
        <v>OK</v>
      </c>
      <c r="M88" t="str">
        <f t="shared" si="11"/>
        <v>CLEAN</v>
      </c>
      <c r="N88" t="str">
        <f t="shared" si="6"/>
        <v/>
      </c>
    </row>
    <row r="89" spans="1:14" x14ac:dyDescent="0.35">
      <c r="A89" t="s">
        <v>199</v>
      </c>
      <c r="B89" t="s">
        <v>105</v>
      </c>
      <c r="C89" t="s">
        <v>12</v>
      </c>
      <c r="D89">
        <v>65</v>
      </c>
      <c r="E89">
        <v>163185.67000000001</v>
      </c>
      <c r="F89">
        <v>10607068.550000001</v>
      </c>
      <c r="G89" s="1">
        <v>45844</v>
      </c>
      <c r="H89" t="s">
        <v>200</v>
      </c>
      <c r="I89" t="str">
        <f t="shared" si="7"/>
        <v>OK</v>
      </c>
      <c r="J89" t="str">
        <f t="shared" si="8"/>
        <v>OK</v>
      </c>
      <c r="K89" t="str">
        <f t="shared" si="9"/>
        <v>Unique</v>
      </c>
      <c r="L89" t="str">
        <f t="shared" si="10"/>
        <v>OK</v>
      </c>
      <c r="M89" t="str">
        <f t="shared" si="11"/>
        <v>CLEAN</v>
      </c>
      <c r="N89" t="str">
        <f t="shared" si="6"/>
        <v/>
      </c>
    </row>
    <row r="90" spans="1:14" x14ac:dyDescent="0.35">
      <c r="A90" t="s">
        <v>201</v>
      </c>
      <c r="B90" t="s">
        <v>16</v>
      </c>
      <c r="C90" t="s">
        <v>27</v>
      </c>
      <c r="D90">
        <v>1</v>
      </c>
      <c r="E90">
        <v>268780.26</v>
      </c>
      <c r="F90">
        <v>268780.26</v>
      </c>
      <c r="G90" s="1">
        <v>45668</v>
      </c>
      <c r="H90" t="s">
        <v>202</v>
      </c>
      <c r="I90" t="str">
        <f t="shared" si="7"/>
        <v>OK</v>
      </c>
      <c r="J90" t="str">
        <f t="shared" si="8"/>
        <v>OK</v>
      </c>
      <c r="K90" t="str">
        <f t="shared" si="9"/>
        <v>Unique</v>
      </c>
      <c r="L90" t="str">
        <f t="shared" si="10"/>
        <v>OK</v>
      </c>
      <c r="M90" t="str">
        <f t="shared" si="11"/>
        <v>CLEAN</v>
      </c>
      <c r="N90" t="str">
        <f t="shared" si="6"/>
        <v/>
      </c>
    </row>
    <row r="91" spans="1:14" x14ac:dyDescent="0.35">
      <c r="A91" t="s">
        <v>203</v>
      </c>
      <c r="B91" t="s">
        <v>37</v>
      </c>
      <c r="C91" t="s">
        <v>12</v>
      </c>
      <c r="D91">
        <v>62</v>
      </c>
      <c r="E91">
        <v>118662.47</v>
      </c>
      <c r="F91">
        <v>7357073.1399999997</v>
      </c>
      <c r="G91" s="1">
        <v>45293</v>
      </c>
      <c r="H91" t="s">
        <v>204</v>
      </c>
      <c r="I91" t="str">
        <f t="shared" si="7"/>
        <v>OK</v>
      </c>
      <c r="J91" t="str">
        <f t="shared" si="8"/>
        <v>OK</v>
      </c>
      <c r="K91" t="str">
        <f t="shared" si="9"/>
        <v>Unique</v>
      </c>
      <c r="L91" t="str">
        <f t="shared" si="10"/>
        <v>OK</v>
      </c>
      <c r="M91" t="str">
        <f t="shared" si="11"/>
        <v>CLEAN</v>
      </c>
      <c r="N91" t="str">
        <f t="shared" si="6"/>
        <v/>
      </c>
    </row>
    <row r="92" spans="1:14" x14ac:dyDescent="0.35">
      <c r="A92" t="s">
        <v>205</v>
      </c>
      <c r="B92" t="s">
        <v>53</v>
      </c>
      <c r="C92" t="s">
        <v>17</v>
      </c>
      <c r="D92">
        <v>1</v>
      </c>
      <c r="E92">
        <v>0</v>
      </c>
      <c r="F92">
        <v>0</v>
      </c>
      <c r="G92" s="1">
        <v>45386</v>
      </c>
      <c r="H92" t="s">
        <v>206</v>
      </c>
      <c r="I92" t="str">
        <f t="shared" si="7"/>
        <v>Check Price</v>
      </c>
      <c r="J92" t="str">
        <f t="shared" si="8"/>
        <v>Zero Sale</v>
      </c>
      <c r="K92" t="str">
        <f t="shared" si="9"/>
        <v>Unique</v>
      </c>
      <c r="L92" t="str">
        <f t="shared" si="10"/>
        <v>OK</v>
      </c>
      <c r="M92" t="str">
        <f t="shared" si="11"/>
        <v>EXCEPTION</v>
      </c>
      <c r="N92" t="str">
        <f t="shared" si="6"/>
        <v>Price Issue, Zero Sale</v>
      </c>
    </row>
    <row r="93" spans="1:14" x14ac:dyDescent="0.35">
      <c r="A93" t="s">
        <v>1047</v>
      </c>
      <c r="B93" t="s">
        <v>79</v>
      </c>
      <c r="C93" t="s">
        <v>46</v>
      </c>
      <c r="D93">
        <v>1</v>
      </c>
      <c r="E93">
        <v>103867.84</v>
      </c>
      <c r="F93">
        <v>103867.84</v>
      </c>
      <c r="G93" s="1">
        <v>45848</v>
      </c>
      <c r="H93" s="2" t="s">
        <v>207</v>
      </c>
      <c r="I93" t="str">
        <f t="shared" si="7"/>
        <v>OK</v>
      </c>
      <c r="J93" t="str">
        <f t="shared" si="8"/>
        <v>OK</v>
      </c>
      <c r="K93" t="str">
        <f t="shared" si="9"/>
        <v>Unique</v>
      </c>
      <c r="L93" t="str">
        <f t="shared" si="10"/>
        <v>OK</v>
      </c>
      <c r="M93" t="str">
        <f t="shared" si="11"/>
        <v>CLEAN</v>
      </c>
      <c r="N93" t="str">
        <f t="shared" si="6"/>
        <v/>
      </c>
    </row>
    <row r="94" spans="1:14" x14ac:dyDescent="0.35">
      <c r="A94" t="s">
        <v>208</v>
      </c>
      <c r="B94" t="s">
        <v>89</v>
      </c>
      <c r="C94" t="s">
        <v>27</v>
      </c>
      <c r="D94">
        <v>1</v>
      </c>
      <c r="E94">
        <v>232032.77</v>
      </c>
      <c r="F94">
        <v>232032.77</v>
      </c>
      <c r="G94" s="1">
        <v>45521</v>
      </c>
      <c r="H94" t="s">
        <v>209</v>
      </c>
      <c r="I94" t="str">
        <f t="shared" si="7"/>
        <v>OK</v>
      </c>
      <c r="J94" t="str">
        <f t="shared" si="8"/>
        <v>OK</v>
      </c>
      <c r="K94" t="str">
        <f t="shared" si="9"/>
        <v>Unique</v>
      </c>
      <c r="L94" t="str">
        <f t="shared" si="10"/>
        <v>OK</v>
      </c>
      <c r="M94" t="str">
        <f t="shared" si="11"/>
        <v>CLEAN</v>
      </c>
      <c r="N94" t="str">
        <f t="shared" si="6"/>
        <v/>
      </c>
    </row>
    <row r="95" spans="1:14" x14ac:dyDescent="0.35">
      <c r="A95" t="s">
        <v>210</v>
      </c>
      <c r="B95" t="s">
        <v>53</v>
      </c>
      <c r="C95" t="s">
        <v>17</v>
      </c>
      <c r="D95">
        <v>74</v>
      </c>
      <c r="E95">
        <v>44369.599999999999</v>
      </c>
      <c r="F95">
        <v>3283350.4</v>
      </c>
      <c r="G95" s="1">
        <v>45813</v>
      </c>
      <c r="H95" t="s">
        <v>211</v>
      </c>
      <c r="I95" t="str">
        <f t="shared" si="7"/>
        <v>OK</v>
      </c>
      <c r="J95" t="str">
        <f t="shared" si="8"/>
        <v>OK</v>
      </c>
      <c r="K95" t="str">
        <f t="shared" si="9"/>
        <v>Unique</v>
      </c>
      <c r="L95" t="str">
        <f t="shared" si="10"/>
        <v>OK</v>
      </c>
      <c r="M95" t="str">
        <f t="shared" si="11"/>
        <v>CLEAN</v>
      </c>
      <c r="N95" t="str">
        <f t="shared" si="6"/>
        <v/>
      </c>
    </row>
    <row r="96" spans="1:14" x14ac:dyDescent="0.35">
      <c r="A96" t="s">
        <v>212</v>
      </c>
      <c r="B96" t="s">
        <v>213</v>
      </c>
      <c r="C96" t="s">
        <v>23</v>
      </c>
      <c r="D96">
        <v>1</v>
      </c>
      <c r="E96">
        <v>13098.91</v>
      </c>
      <c r="F96">
        <v>13098.91</v>
      </c>
      <c r="G96" s="1">
        <v>45338</v>
      </c>
      <c r="H96" t="s">
        <v>214</v>
      </c>
      <c r="I96" t="str">
        <f t="shared" si="7"/>
        <v>OK</v>
      </c>
      <c r="J96" t="str">
        <f t="shared" si="8"/>
        <v>OK</v>
      </c>
      <c r="K96" t="str">
        <f t="shared" si="9"/>
        <v>Unique</v>
      </c>
      <c r="L96" t="str">
        <f t="shared" si="10"/>
        <v>OK</v>
      </c>
      <c r="M96" t="str">
        <f t="shared" si="11"/>
        <v>CLEAN</v>
      </c>
      <c r="N96" t="str">
        <f t="shared" si="6"/>
        <v/>
      </c>
    </row>
    <row r="97" spans="1:14" x14ac:dyDescent="0.35">
      <c r="A97" t="s">
        <v>215</v>
      </c>
      <c r="B97" t="s">
        <v>105</v>
      </c>
      <c r="C97" t="s">
        <v>55</v>
      </c>
      <c r="D97">
        <v>1</v>
      </c>
      <c r="E97">
        <v>286616.46000000002</v>
      </c>
      <c r="F97">
        <v>286616.46000000002</v>
      </c>
      <c r="G97" s="1">
        <v>45775</v>
      </c>
      <c r="H97" t="s">
        <v>216</v>
      </c>
      <c r="I97" t="str">
        <f t="shared" si="7"/>
        <v>OK</v>
      </c>
      <c r="J97" t="str">
        <f t="shared" si="8"/>
        <v>OK</v>
      </c>
      <c r="K97" t="str">
        <f t="shared" si="9"/>
        <v>Unique</v>
      </c>
      <c r="L97" t="str">
        <f t="shared" si="10"/>
        <v>OK</v>
      </c>
      <c r="M97" t="str">
        <f t="shared" si="11"/>
        <v>CLEAN</v>
      </c>
      <c r="N97" t="str">
        <f t="shared" si="6"/>
        <v/>
      </c>
    </row>
    <row r="98" spans="1:14" x14ac:dyDescent="0.35">
      <c r="A98" t="s">
        <v>217</v>
      </c>
      <c r="B98" t="s">
        <v>76</v>
      </c>
      <c r="C98" t="s">
        <v>12</v>
      </c>
      <c r="D98">
        <v>1</v>
      </c>
      <c r="E98">
        <v>24169.32</v>
      </c>
      <c r="F98">
        <v>24169.32</v>
      </c>
      <c r="G98" s="1">
        <v>45179</v>
      </c>
      <c r="H98" t="s">
        <v>218</v>
      </c>
      <c r="I98" t="str">
        <f t="shared" si="7"/>
        <v>OK</v>
      </c>
      <c r="J98" t="str">
        <f t="shared" si="8"/>
        <v>OK</v>
      </c>
      <c r="K98" t="str">
        <f t="shared" si="9"/>
        <v>Unique</v>
      </c>
      <c r="L98" t="str">
        <f t="shared" si="10"/>
        <v>OK</v>
      </c>
      <c r="M98" t="str">
        <f t="shared" si="11"/>
        <v>CLEAN</v>
      </c>
      <c r="N98" t="str">
        <f t="shared" si="6"/>
        <v/>
      </c>
    </row>
    <row r="99" spans="1:14" x14ac:dyDescent="0.35">
      <c r="A99" t="s">
        <v>219</v>
      </c>
      <c r="B99" t="s">
        <v>26</v>
      </c>
      <c r="C99" t="s">
        <v>46</v>
      </c>
      <c r="D99">
        <v>1</v>
      </c>
      <c r="E99">
        <v>277240.88</v>
      </c>
      <c r="F99">
        <v>277240.88</v>
      </c>
      <c r="G99" s="1">
        <v>45312</v>
      </c>
      <c r="H99" t="s">
        <v>220</v>
      </c>
      <c r="I99" t="str">
        <f t="shared" si="7"/>
        <v>OK</v>
      </c>
      <c r="J99" t="str">
        <f t="shared" si="8"/>
        <v>OK</v>
      </c>
      <c r="K99" t="str">
        <f t="shared" si="9"/>
        <v>Unique</v>
      </c>
      <c r="L99" t="str">
        <f t="shared" si="10"/>
        <v>OK</v>
      </c>
      <c r="M99" t="str">
        <f t="shared" si="11"/>
        <v>CLEAN</v>
      </c>
      <c r="N99" t="str">
        <f t="shared" si="6"/>
        <v/>
      </c>
    </row>
    <row r="100" spans="1:14" x14ac:dyDescent="0.35">
      <c r="A100" t="s">
        <v>221</v>
      </c>
      <c r="B100" t="s">
        <v>16</v>
      </c>
      <c r="C100" t="s">
        <v>12</v>
      </c>
      <c r="D100">
        <v>1</v>
      </c>
      <c r="E100">
        <v>196963.63</v>
      </c>
      <c r="F100">
        <v>196963.63</v>
      </c>
      <c r="G100" s="1">
        <v>45270</v>
      </c>
      <c r="H100" t="s">
        <v>1106</v>
      </c>
      <c r="I100" t="str">
        <f t="shared" si="7"/>
        <v>OK</v>
      </c>
      <c r="J100" t="str">
        <f t="shared" si="8"/>
        <v>OK</v>
      </c>
      <c r="K100" t="str">
        <f t="shared" si="9"/>
        <v>Unique</v>
      </c>
      <c r="L100" t="str">
        <f t="shared" si="10"/>
        <v>OK</v>
      </c>
      <c r="M100" t="str">
        <f t="shared" si="11"/>
        <v>CLEAN</v>
      </c>
      <c r="N100" t="str">
        <f t="shared" si="6"/>
        <v/>
      </c>
    </row>
    <row r="101" spans="1:14" x14ac:dyDescent="0.35">
      <c r="A101" t="s">
        <v>222</v>
      </c>
      <c r="B101" t="s">
        <v>26</v>
      </c>
      <c r="C101" t="s">
        <v>23</v>
      </c>
      <c r="D101">
        <v>1</v>
      </c>
      <c r="E101">
        <v>224327.88</v>
      </c>
      <c r="F101">
        <v>224327.88</v>
      </c>
      <c r="G101" s="1">
        <v>45611</v>
      </c>
      <c r="H101" t="s">
        <v>223</v>
      </c>
      <c r="I101" t="str">
        <f t="shared" si="7"/>
        <v>OK</v>
      </c>
      <c r="J101" t="str">
        <f t="shared" si="8"/>
        <v>OK</v>
      </c>
      <c r="K101" t="str">
        <f t="shared" si="9"/>
        <v>Unique</v>
      </c>
      <c r="L101" t="str">
        <f t="shared" si="10"/>
        <v>OK</v>
      </c>
      <c r="M101" t="str">
        <f t="shared" si="11"/>
        <v>CLEAN</v>
      </c>
      <c r="N101" t="str">
        <f t="shared" si="6"/>
        <v/>
      </c>
    </row>
    <row r="102" spans="1:14" x14ac:dyDescent="0.35">
      <c r="A102" t="s">
        <v>224</v>
      </c>
      <c r="B102" t="s">
        <v>20</v>
      </c>
      <c r="C102" t="s">
        <v>46</v>
      </c>
      <c r="D102">
        <v>35</v>
      </c>
      <c r="E102">
        <v>0</v>
      </c>
      <c r="F102">
        <v>0</v>
      </c>
      <c r="G102" s="1">
        <v>45545</v>
      </c>
      <c r="H102" t="s">
        <v>225</v>
      </c>
      <c r="I102" t="str">
        <f t="shared" si="7"/>
        <v>Check Price</v>
      </c>
      <c r="J102" t="str">
        <f t="shared" si="8"/>
        <v>Zero Sale</v>
      </c>
      <c r="K102" t="str">
        <f t="shared" si="9"/>
        <v>Unique</v>
      </c>
      <c r="L102" t="str">
        <f t="shared" si="10"/>
        <v>OK</v>
      </c>
      <c r="M102" t="str">
        <f t="shared" si="11"/>
        <v>EXCEPTION</v>
      </c>
      <c r="N102" t="str">
        <f t="shared" si="6"/>
        <v>Price Issue, Zero Sale</v>
      </c>
    </row>
    <row r="103" spans="1:14" x14ac:dyDescent="0.35">
      <c r="A103" t="s">
        <v>226</v>
      </c>
      <c r="B103" t="s">
        <v>34</v>
      </c>
      <c r="C103" t="s">
        <v>90</v>
      </c>
      <c r="D103">
        <v>1</v>
      </c>
      <c r="E103">
        <v>64589.05</v>
      </c>
      <c r="F103">
        <v>64589.05</v>
      </c>
      <c r="G103" s="1">
        <v>45331</v>
      </c>
      <c r="H103" t="s">
        <v>227</v>
      </c>
      <c r="I103" t="str">
        <f t="shared" si="7"/>
        <v>OK</v>
      </c>
      <c r="J103" t="str">
        <f t="shared" si="8"/>
        <v>OK</v>
      </c>
      <c r="K103" t="str">
        <f t="shared" si="9"/>
        <v>Unique</v>
      </c>
      <c r="L103" t="str">
        <f t="shared" si="10"/>
        <v>OK</v>
      </c>
      <c r="M103" t="str">
        <f t="shared" si="11"/>
        <v>CLEAN</v>
      </c>
      <c r="N103" t="str">
        <f t="shared" si="6"/>
        <v/>
      </c>
    </row>
    <row r="104" spans="1:14" x14ac:dyDescent="0.35">
      <c r="A104" t="s">
        <v>228</v>
      </c>
      <c r="B104" t="s">
        <v>34</v>
      </c>
      <c r="C104" t="s">
        <v>23</v>
      </c>
      <c r="D104">
        <v>1</v>
      </c>
      <c r="E104">
        <v>248471.54</v>
      </c>
      <c r="F104">
        <v>248471.54</v>
      </c>
      <c r="G104" s="1">
        <v>45215</v>
      </c>
      <c r="H104" t="s">
        <v>229</v>
      </c>
      <c r="I104" t="str">
        <f t="shared" si="7"/>
        <v>OK</v>
      </c>
      <c r="J104" t="str">
        <f t="shared" si="8"/>
        <v>OK</v>
      </c>
      <c r="K104" t="str">
        <f t="shared" si="9"/>
        <v>Unique</v>
      </c>
      <c r="L104" t="str">
        <f t="shared" si="10"/>
        <v>OK</v>
      </c>
      <c r="M104" t="str">
        <f t="shared" si="11"/>
        <v>CLEAN</v>
      </c>
      <c r="N104" t="str">
        <f t="shared" si="6"/>
        <v/>
      </c>
    </row>
    <row r="105" spans="1:14" x14ac:dyDescent="0.35">
      <c r="A105" t="s">
        <v>230</v>
      </c>
      <c r="B105" t="s">
        <v>16</v>
      </c>
      <c r="C105" t="s">
        <v>70</v>
      </c>
      <c r="D105">
        <v>1</v>
      </c>
      <c r="E105">
        <v>81704.25</v>
      </c>
      <c r="F105">
        <v>81704.25</v>
      </c>
      <c r="G105" s="1">
        <v>45603</v>
      </c>
      <c r="H105" t="s">
        <v>231</v>
      </c>
      <c r="I105" t="str">
        <f t="shared" si="7"/>
        <v>OK</v>
      </c>
      <c r="J105" t="str">
        <f t="shared" si="8"/>
        <v>OK</v>
      </c>
      <c r="K105" t="str">
        <f t="shared" si="9"/>
        <v>Unique</v>
      </c>
      <c r="L105" t="str">
        <f t="shared" si="10"/>
        <v>OK</v>
      </c>
      <c r="M105" t="str">
        <f t="shared" si="11"/>
        <v>CLEAN</v>
      </c>
      <c r="N105" t="str">
        <f t="shared" si="6"/>
        <v/>
      </c>
    </row>
    <row r="106" spans="1:14" x14ac:dyDescent="0.35">
      <c r="A106" t="s">
        <v>1047</v>
      </c>
      <c r="B106" t="s">
        <v>79</v>
      </c>
      <c r="C106" t="s">
        <v>70</v>
      </c>
      <c r="D106">
        <v>1</v>
      </c>
      <c r="E106">
        <v>168824.4</v>
      </c>
      <c r="F106">
        <v>168824.4</v>
      </c>
      <c r="G106" s="1">
        <v>45353</v>
      </c>
      <c r="H106" t="s">
        <v>232</v>
      </c>
      <c r="I106" t="str">
        <f t="shared" si="7"/>
        <v>OK</v>
      </c>
      <c r="J106" t="str">
        <f t="shared" si="8"/>
        <v>OK</v>
      </c>
      <c r="K106" t="str">
        <f t="shared" si="9"/>
        <v>Unique</v>
      </c>
      <c r="L106" t="str">
        <f t="shared" si="10"/>
        <v>OK</v>
      </c>
      <c r="M106" t="str">
        <f t="shared" si="11"/>
        <v>CLEAN</v>
      </c>
      <c r="N106" t="str">
        <f t="shared" si="6"/>
        <v/>
      </c>
    </row>
    <row r="107" spans="1:14" x14ac:dyDescent="0.35">
      <c r="A107" t="s">
        <v>233</v>
      </c>
      <c r="B107" t="s">
        <v>42</v>
      </c>
      <c r="C107" t="s">
        <v>27</v>
      </c>
      <c r="D107">
        <v>1</v>
      </c>
      <c r="E107">
        <v>81850.63</v>
      </c>
      <c r="F107">
        <v>81850.63</v>
      </c>
      <c r="G107" s="1">
        <v>45595</v>
      </c>
      <c r="H107" t="s">
        <v>234</v>
      </c>
      <c r="I107" t="str">
        <f t="shared" si="7"/>
        <v>OK</v>
      </c>
      <c r="J107" t="str">
        <f t="shared" si="8"/>
        <v>OK</v>
      </c>
      <c r="K107" t="str">
        <f t="shared" si="9"/>
        <v>Unique</v>
      </c>
      <c r="L107" t="str">
        <f t="shared" si="10"/>
        <v>OK</v>
      </c>
      <c r="M107" t="str">
        <f t="shared" si="11"/>
        <v>CLEAN</v>
      </c>
      <c r="N107" t="str">
        <f t="shared" si="6"/>
        <v/>
      </c>
    </row>
    <row r="108" spans="1:14" x14ac:dyDescent="0.35">
      <c r="A108" t="s">
        <v>235</v>
      </c>
      <c r="B108" t="s">
        <v>79</v>
      </c>
      <c r="C108" t="s">
        <v>46</v>
      </c>
      <c r="D108">
        <v>1</v>
      </c>
      <c r="E108">
        <v>33213.360000000001</v>
      </c>
      <c r="F108">
        <v>33213.360000000001</v>
      </c>
      <c r="G108" s="1">
        <v>45532</v>
      </c>
      <c r="H108" t="s">
        <v>236</v>
      </c>
      <c r="I108" t="str">
        <f t="shared" si="7"/>
        <v>OK</v>
      </c>
      <c r="J108" t="str">
        <f t="shared" si="8"/>
        <v>OK</v>
      </c>
      <c r="K108" t="str">
        <f t="shared" si="9"/>
        <v>Unique</v>
      </c>
      <c r="L108" t="str">
        <f t="shared" si="10"/>
        <v>OK</v>
      </c>
      <c r="M108" t="str">
        <f t="shared" si="11"/>
        <v>CLEAN</v>
      </c>
      <c r="N108" t="str">
        <f t="shared" si="6"/>
        <v/>
      </c>
    </row>
    <row r="109" spans="1:14" x14ac:dyDescent="0.35">
      <c r="A109" t="s">
        <v>237</v>
      </c>
      <c r="B109" t="s">
        <v>105</v>
      </c>
      <c r="C109" t="s">
        <v>27</v>
      </c>
      <c r="D109">
        <v>9</v>
      </c>
      <c r="E109">
        <v>222396.85</v>
      </c>
      <c r="F109">
        <v>2001571.6500000001</v>
      </c>
      <c r="G109" s="1">
        <v>45190</v>
      </c>
      <c r="H109" t="s">
        <v>238</v>
      </c>
      <c r="I109" t="str">
        <f t="shared" si="7"/>
        <v>OK</v>
      </c>
      <c r="J109" t="str">
        <f t="shared" si="8"/>
        <v>OK</v>
      </c>
      <c r="K109" t="str">
        <f t="shared" si="9"/>
        <v>Unique</v>
      </c>
      <c r="L109" t="str">
        <f t="shared" si="10"/>
        <v>OK</v>
      </c>
      <c r="M109" t="str">
        <f t="shared" si="11"/>
        <v>CLEAN</v>
      </c>
      <c r="N109" t="str">
        <f t="shared" si="6"/>
        <v/>
      </c>
    </row>
    <row r="110" spans="1:14" x14ac:dyDescent="0.35">
      <c r="A110" t="s">
        <v>239</v>
      </c>
      <c r="B110" t="s">
        <v>109</v>
      </c>
      <c r="C110" t="s">
        <v>46</v>
      </c>
      <c r="D110">
        <v>1</v>
      </c>
      <c r="E110">
        <v>72164.98</v>
      </c>
      <c r="F110">
        <v>72164.98</v>
      </c>
      <c r="G110" s="1">
        <v>45508</v>
      </c>
      <c r="H110" t="s">
        <v>240</v>
      </c>
      <c r="I110" t="str">
        <f t="shared" si="7"/>
        <v>OK</v>
      </c>
      <c r="J110" t="str">
        <f t="shared" si="8"/>
        <v>OK</v>
      </c>
      <c r="K110" t="str">
        <f t="shared" si="9"/>
        <v>Unique</v>
      </c>
      <c r="L110" t="str">
        <f t="shared" si="10"/>
        <v>OK</v>
      </c>
      <c r="M110" t="str">
        <f t="shared" si="11"/>
        <v>CLEAN</v>
      </c>
      <c r="N110" t="str">
        <f t="shared" si="6"/>
        <v/>
      </c>
    </row>
    <row r="111" spans="1:14" x14ac:dyDescent="0.35">
      <c r="A111" t="s">
        <v>241</v>
      </c>
      <c r="B111" t="s">
        <v>20</v>
      </c>
      <c r="C111" t="s">
        <v>23</v>
      </c>
      <c r="D111">
        <v>4</v>
      </c>
      <c r="E111">
        <v>15704.25</v>
      </c>
      <c r="F111">
        <v>62817</v>
      </c>
      <c r="G111" s="1">
        <v>45615</v>
      </c>
      <c r="H111" t="s">
        <v>242</v>
      </c>
      <c r="I111" t="str">
        <f t="shared" si="7"/>
        <v>OK</v>
      </c>
      <c r="J111" t="str">
        <f t="shared" si="8"/>
        <v>OK</v>
      </c>
      <c r="K111" t="str">
        <f t="shared" si="9"/>
        <v>Unique</v>
      </c>
      <c r="L111" t="str">
        <f t="shared" si="10"/>
        <v>OK</v>
      </c>
      <c r="M111" t="str">
        <f t="shared" si="11"/>
        <v>CLEAN</v>
      </c>
      <c r="N111" t="str">
        <f t="shared" si="6"/>
        <v/>
      </c>
    </row>
    <row r="112" spans="1:14" x14ac:dyDescent="0.35">
      <c r="A112" t="s">
        <v>243</v>
      </c>
      <c r="B112" t="s">
        <v>26</v>
      </c>
      <c r="C112" t="s">
        <v>46</v>
      </c>
      <c r="D112">
        <v>1</v>
      </c>
      <c r="E112">
        <v>0</v>
      </c>
      <c r="F112">
        <v>0</v>
      </c>
      <c r="G112" s="1">
        <v>45248</v>
      </c>
      <c r="H112" t="s">
        <v>244</v>
      </c>
      <c r="I112" t="str">
        <f t="shared" si="7"/>
        <v>Check Price</v>
      </c>
      <c r="J112" t="str">
        <f t="shared" si="8"/>
        <v>Zero Sale</v>
      </c>
      <c r="K112" t="str">
        <f t="shared" si="9"/>
        <v>Unique</v>
      </c>
      <c r="L112" t="str">
        <f t="shared" si="10"/>
        <v>OK</v>
      </c>
      <c r="M112" t="str">
        <f t="shared" si="11"/>
        <v>EXCEPTION</v>
      </c>
      <c r="N112" t="str">
        <f t="shared" si="6"/>
        <v>Price Issue, Zero Sale</v>
      </c>
    </row>
    <row r="113" spans="1:14" x14ac:dyDescent="0.35">
      <c r="A113" t="s">
        <v>245</v>
      </c>
      <c r="B113" t="s">
        <v>58</v>
      </c>
      <c r="C113" t="s">
        <v>90</v>
      </c>
      <c r="D113">
        <v>1</v>
      </c>
      <c r="E113">
        <v>271602.67</v>
      </c>
      <c r="F113">
        <v>271602.67</v>
      </c>
      <c r="G113" s="1">
        <v>45577</v>
      </c>
      <c r="H113" t="s">
        <v>246</v>
      </c>
      <c r="I113" t="str">
        <f t="shared" si="7"/>
        <v>OK</v>
      </c>
      <c r="J113" t="str">
        <f t="shared" si="8"/>
        <v>OK</v>
      </c>
      <c r="K113" t="str">
        <f t="shared" si="9"/>
        <v>Unique</v>
      </c>
      <c r="L113" t="str">
        <f t="shared" si="10"/>
        <v>OK</v>
      </c>
      <c r="M113" t="str">
        <f t="shared" si="11"/>
        <v>CLEAN</v>
      </c>
      <c r="N113" t="str">
        <f t="shared" si="6"/>
        <v/>
      </c>
    </row>
    <row r="114" spans="1:14" x14ac:dyDescent="0.35">
      <c r="A114" t="s">
        <v>247</v>
      </c>
      <c r="B114" t="s">
        <v>213</v>
      </c>
      <c r="C114" t="s">
        <v>55</v>
      </c>
      <c r="D114">
        <v>1</v>
      </c>
      <c r="E114">
        <v>68088.66</v>
      </c>
      <c r="F114">
        <v>68088.66</v>
      </c>
      <c r="G114" s="1">
        <v>45569</v>
      </c>
      <c r="H114" t="s">
        <v>1107</v>
      </c>
      <c r="I114" t="str">
        <f t="shared" si="7"/>
        <v>OK</v>
      </c>
      <c r="J114" t="str">
        <f t="shared" si="8"/>
        <v>OK</v>
      </c>
      <c r="K114" t="str">
        <f t="shared" si="9"/>
        <v>Unique</v>
      </c>
      <c r="L114" t="str">
        <f t="shared" si="10"/>
        <v>OK</v>
      </c>
      <c r="M114" t="str">
        <f t="shared" si="11"/>
        <v>CLEAN</v>
      </c>
      <c r="N114" t="str">
        <f t="shared" si="6"/>
        <v/>
      </c>
    </row>
    <row r="115" spans="1:14" x14ac:dyDescent="0.35">
      <c r="A115" t="s">
        <v>248</v>
      </c>
      <c r="B115" t="s">
        <v>37</v>
      </c>
      <c r="C115" t="s">
        <v>70</v>
      </c>
      <c r="D115">
        <v>44</v>
      </c>
      <c r="E115">
        <v>70234.55</v>
      </c>
      <c r="F115">
        <v>3090320.2</v>
      </c>
      <c r="G115" s="1">
        <v>45237</v>
      </c>
      <c r="H115" t="s">
        <v>249</v>
      </c>
      <c r="I115" t="str">
        <f t="shared" si="7"/>
        <v>OK</v>
      </c>
      <c r="J115" t="str">
        <f t="shared" si="8"/>
        <v>OK</v>
      </c>
      <c r="K115" t="str">
        <f t="shared" si="9"/>
        <v>Unique</v>
      </c>
      <c r="L115" t="str">
        <f t="shared" si="10"/>
        <v>OK</v>
      </c>
      <c r="M115" t="str">
        <f t="shared" si="11"/>
        <v>CLEAN</v>
      </c>
      <c r="N115" t="str">
        <f t="shared" si="6"/>
        <v/>
      </c>
    </row>
    <row r="116" spans="1:14" x14ac:dyDescent="0.35">
      <c r="A116" t="s">
        <v>250</v>
      </c>
      <c r="B116" t="s">
        <v>45</v>
      </c>
      <c r="C116" t="s">
        <v>55</v>
      </c>
      <c r="D116">
        <v>1</v>
      </c>
      <c r="E116">
        <v>30509.29</v>
      </c>
      <c r="F116">
        <v>30509.29</v>
      </c>
      <c r="G116" s="1">
        <v>45250</v>
      </c>
      <c r="H116" t="s">
        <v>251</v>
      </c>
      <c r="I116" t="str">
        <f t="shared" si="7"/>
        <v>OK</v>
      </c>
      <c r="J116" t="str">
        <f t="shared" si="8"/>
        <v>OK</v>
      </c>
      <c r="K116" t="str">
        <f t="shared" si="9"/>
        <v>Unique</v>
      </c>
      <c r="L116" t="str">
        <f t="shared" si="10"/>
        <v>OK</v>
      </c>
      <c r="M116" t="str">
        <f t="shared" si="11"/>
        <v>CLEAN</v>
      </c>
      <c r="N116" t="str">
        <f t="shared" si="6"/>
        <v/>
      </c>
    </row>
    <row r="117" spans="1:14" x14ac:dyDescent="0.35">
      <c r="A117" t="s">
        <v>252</v>
      </c>
      <c r="B117" t="s">
        <v>31</v>
      </c>
      <c r="C117" t="s">
        <v>46</v>
      </c>
      <c r="D117">
        <v>1</v>
      </c>
      <c r="E117">
        <v>99422.94</v>
      </c>
      <c r="F117">
        <v>99422.94</v>
      </c>
      <c r="G117" s="1">
        <v>45629</v>
      </c>
      <c r="H117" t="s">
        <v>253</v>
      </c>
      <c r="I117" t="str">
        <f t="shared" si="7"/>
        <v>OK</v>
      </c>
      <c r="J117" t="str">
        <f t="shared" si="8"/>
        <v>OK</v>
      </c>
      <c r="K117" t="str">
        <f t="shared" si="9"/>
        <v>Unique</v>
      </c>
      <c r="L117" t="str">
        <f t="shared" si="10"/>
        <v>OK</v>
      </c>
      <c r="M117" t="str">
        <f t="shared" si="11"/>
        <v>CLEAN</v>
      </c>
      <c r="N117" t="str">
        <f t="shared" si="6"/>
        <v/>
      </c>
    </row>
    <row r="118" spans="1:14" x14ac:dyDescent="0.35">
      <c r="A118" t="s">
        <v>254</v>
      </c>
      <c r="B118" t="s">
        <v>26</v>
      </c>
      <c r="C118" t="s">
        <v>55</v>
      </c>
      <c r="D118">
        <v>1</v>
      </c>
      <c r="E118">
        <v>141984.97</v>
      </c>
      <c r="F118">
        <v>141984.97</v>
      </c>
      <c r="G118" s="1">
        <v>45603</v>
      </c>
      <c r="H118" t="s">
        <v>255</v>
      </c>
      <c r="I118" t="str">
        <f t="shared" si="7"/>
        <v>OK</v>
      </c>
      <c r="J118" t="str">
        <f t="shared" si="8"/>
        <v>OK</v>
      </c>
      <c r="K118" t="str">
        <f t="shared" si="9"/>
        <v>Unique</v>
      </c>
      <c r="L118" t="str">
        <f t="shared" si="10"/>
        <v>OK</v>
      </c>
      <c r="M118" t="str">
        <f t="shared" si="11"/>
        <v>CLEAN</v>
      </c>
      <c r="N118" t="str">
        <f t="shared" si="6"/>
        <v/>
      </c>
    </row>
    <row r="119" spans="1:14" x14ac:dyDescent="0.35">
      <c r="A119" t="s">
        <v>1047</v>
      </c>
      <c r="B119" t="s">
        <v>85</v>
      </c>
      <c r="C119" t="s">
        <v>90</v>
      </c>
      <c r="D119">
        <v>77</v>
      </c>
      <c r="E119">
        <v>204517</v>
      </c>
      <c r="F119">
        <v>15747809</v>
      </c>
      <c r="G119" s="1">
        <v>45677</v>
      </c>
      <c r="H119" t="s">
        <v>256</v>
      </c>
      <c r="I119" t="str">
        <f t="shared" si="7"/>
        <v>OK</v>
      </c>
      <c r="J119" t="str">
        <f t="shared" si="8"/>
        <v>OK</v>
      </c>
      <c r="K119" t="str">
        <f t="shared" si="9"/>
        <v>Unique</v>
      </c>
      <c r="L119" t="str">
        <f t="shared" si="10"/>
        <v>OK</v>
      </c>
      <c r="M119" t="str">
        <f t="shared" si="11"/>
        <v>CLEAN</v>
      </c>
      <c r="N119" t="str">
        <f t="shared" si="6"/>
        <v/>
      </c>
    </row>
    <row r="120" spans="1:14" x14ac:dyDescent="0.35">
      <c r="A120" t="s">
        <v>257</v>
      </c>
      <c r="B120" t="s">
        <v>42</v>
      </c>
      <c r="C120" t="s">
        <v>70</v>
      </c>
      <c r="D120">
        <v>7</v>
      </c>
      <c r="E120">
        <v>41671.379999999997</v>
      </c>
      <c r="F120">
        <v>291699.65999999997</v>
      </c>
      <c r="G120" s="1">
        <v>45818</v>
      </c>
      <c r="H120" t="s">
        <v>258</v>
      </c>
      <c r="I120" t="str">
        <f t="shared" si="7"/>
        <v>OK</v>
      </c>
      <c r="J120" t="str">
        <f t="shared" si="8"/>
        <v>OK</v>
      </c>
      <c r="K120" t="str">
        <f t="shared" si="9"/>
        <v>Unique</v>
      </c>
      <c r="L120" t="str">
        <f t="shared" si="10"/>
        <v>OK</v>
      </c>
      <c r="M120" t="str">
        <f t="shared" si="11"/>
        <v>CLEAN</v>
      </c>
      <c r="N120" t="str">
        <f t="shared" si="6"/>
        <v/>
      </c>
    </row>
    <row r="121" spans="1:14" x14ac:dyDescent="0.35">
      <c r="A121" t="s">
        <v>259</v>
      </c>
      <c r="B121" t="s">
        <v>61</v>
      </c>
      <c r="C121" t="s">
        <v>17</v>
      </c>
      <c r="D121">
        <v>1</v>
      </c>
      <c r="E121">
        <v>289373.37</v>
      </c>
      <c r="F121">
        <v>289373.37</v>
      </c>
      <c r="G121" s="1">
        <v>45588</v>
      </c>
      <c r="H121" t="s">
        <v>260</v>
      </c>
      <c r="I121" t="str">
        <f t="shared" si="7"/>
        <v>OK</v>
      </c>
      <c r="J121" t="str">
        <f t="shared" si="8"/>
        <v>OK</v>
      </c>
      <c r="K121" t="str">
        <f t="shared" si="9"/>
        <v>Unique</v>
      </c>
      <c r="L121" t="str">
        <f t="shared" si="10"/>
        <v>OK</v>
      </c>
      <c r="M121" t="str">
        <f t="shared" si="11"/>
        <v>CLEAN</v>
      </c>
      <c r="N121" t="str">
        <f t="shared" si="6"/>
        <v/>
      </c>
    </row>
    <row r="122" spans="1:14" x14ac:dyDescent="0.35">
      <c r="A122" t="s">
        <v>261</v>
      </c>
      <c r="B122" t="s">
        <v>37</v>
      </c>
      <c r="C122" t="s">
        <v>46</v>
      </c>
      <c r="D122">
        <v>1</v>
      </c>
      <c r="E122">
        <v>0</v>
      </c>
      <c r="F122">
        <v>0</v>
      </c>
      <c r="G122" s="1">
        <v>45380</v>
      </c>
      <c r="H122" t="s">
        <v>262</v>
      </c>
      <c r="I122" t="str">
        <f t="shared" si="7"/>
        <v>Check Price</v>
      </c>
      <c r="J122" t="str">
        <f t="shared" si="8"/>
        <v>Zero Sale</v>
      </c>
      <c r="K122" t="str">
        <f t="shared" si="9"/>
        <v>Unique</v>
      </c>
      <c r="L122" t="str">
        <f t="shared" si="10"/>
        <v>OK</v>
      </c>
      <c r="M122" t="str">
        <f t="shared" si="11"/>
        <v>EXCEPTION</v>
      </c>
      <c r="N122" t="str">
        <f t="shared" si="6"/>
        <v>Price Issue, Zero Sale</v>
      </c>
    </row>
    <row r="123" spans="1:14" x14ac:dyDescent="0.35">
      <c r="A123" t="s">
        <v>263</v>
      </c>
      <c r="B123" t="s">
        <v>105</v>
      </c>
      <c r="C123" t="s">
        <v>70</v>
      </c>
      <c r="D123">
        <v>1</v>
      </c>
      <c r="E123">
        <v>293384.26</v>
      </c>
      <c r="F123">
        <v>293384.26</v>
      </c>
      <c r="G123" s="1">
        <v>45772</v>
      </c>
      <c r="H123" t="s">
        <v>264</v>
      </c>
      <c r="I123" t="str">
        <f t="shared" si="7"/>
        <v>OK</v>
      </c>
      <c r="J123" t="str">
        <f t="shared" si="8"/>
        <v>OK</v>
      </c>
      <c r="K123" t="str">
        <f t="shared" si="9"/>
        <v>Unique</v>
      </c>
      <c r="L123" t="str">
        <f t="shared" si="10"/>
        <v>OK</v>
      </c>
      <c r="M123" t="str">
        <f t="shared" si="11"/>
        <v>CLEAN</v>
      </c>
      <c r="N123" t="str">
        <f t="shared" si="6"/>
        <v/>
      </c>
    </row>
    <row r="124" spans="1:14" x14ac:dyDescent="0.35">
      <c r="A124" t="s">
        <v>265</v>
      </c>
      <c r="B124" t="s">
        <v>105</v>
      </c>
      <c r="C124" t="s">
        <v>55</v>
      </c>
      <c r="D124">
        <v>1</v>
      </c>
      <c r="E124">
        <v>47803.35</v>
      </c>
      <c r="F124">
        <v>47803.35</v>
      </c>
      <c r="G124" s="1">
        <v>45835</v>
      </c>
      <c r="H124" t="s">
        <v>266</v>
      </c>
      <c r="I124" t="str">
        <f t="shared" si="7"/>
        <v>OK</v>
      </c>
      <c r="J124" t="str">
        <f t="shared" si="8"/>
        <v>OK</v>
      </c>
      <c r="K124" t="str">
        <f t="shared" si="9"/>
        <v>Unique</v>
      </c>
      <c r="L124" t="str">
        <f t="shared" si="10"/>
        <v>OK</v>
      </c>
      <c r="M124" t="str">
        <f t="shared" si="11"/>
        <v>CLEAN</v>
      </c>
      <c r="N124" t="str">
        <f t="shared" si="6"/>
        <v/>
      </c>
    </row>
    <row r="125" spans="1:14" x14ac:dyDescent="0.35">
      <c r="A125" t="s">
        <v>267</v>
      </c>
      <c r="B125" t="s">
        <v>61</v>
      </c>
      <c r="C125" t="s">
        <v>17</v>
      </c>
      <c r="D125">
        <v>1</v>
      </c>
      <c r="E125">
        <v>196041.39</v>
      </c>
      <c r="F125">
        <v>196041.39</v>
      </c>
      <c r="G125" s="1">
        <v>45555</v>
      </c>
      <c r="H125" t="s">
        <v>268</v>
      </c>
      <c r="I125" t="str">
        <f t="shared" si="7"/>
        <v>OK</v>
      </c>
      <c r="J125" t="str">
        <f t="shared" si="8"/>
        <v>OK</v>
      </c>
      <c r="K125" t="str">
        <f t="shared" si="9"/>
        <v>Unique</v>
      </c>
      <c r="L125" t="str">
        <f t="shared" si="10"/>
        <v>OK</v>
      </c>
      <c r="M125" t="str">
        <f t="shared" si="11"/>
        <v>CLEAN</v>
      </c>
      <c r="N125" t="str">
        <f t="shared" si="6"/>
        <v/>
      </c>
    </row>
    <row r="126" spans="1:14" x14ac:dyDescent="0.35">
      <c r="A126" t="s">
        <v>269</v>
      </c>
      <c r="B126" t="s">
        <v>76</v>
      </c>
      <c r="C126" t="s">
        <v>12</v>
      </c>
      <c r="D126">
        <v>1</v>
      </c>
      <c r="E126">
        <v>264253.90999999997</v>
      </c>
      <c r="F126">
        <v>264253.90999999997</v>
      </c>
      <c r="G126" s="1">
        <v>45149</v>
      </c>
      <c r="H126" t="s">
        <v>270</v>
      </c>
      <c r="I126" t="str">
        <f t="shared" si="7"/>
        <v>OK</v>
      </c>
      <c r="J126" t="str">
        <f t="shared" si="8"/>
        <v>OK</v>
      </c>
      <c r="K126" t="str">
        <f t="shared" si="9"/>
        <v>Unique</v>
      </c>
      <c r="L126" t="str">
        <f t="shared" si="10"/>
        <v>OK</v>
      </c>
      <c r="M126" t="str">
        <f t="shared" si="11"/>
        <v>CLEAN</v>
      </c>
      <c r="N126" t="str">
        <f t="shared" si="6"/>
        <v/>
      </c>
    </row>
    <row r="127" spans="1:14" x14ac:dyDescent="0.35">
      <c r="A127" t="s">
        <v>271</v>
      </c>
      <c r="B127" t="s">
        <v>58</v>
      </c>
      <c r="C127" t="s">
        <v>70</v>
      </c>
      <c r="D127">
        <v>1</v>
      </c>
      <c r="E127">
        <v>142972.04</v>
      </c>
      <c r="F127">
        <v>142972.04</v>
      </c>
      <c r="G127" s="1">
        <v>45758</v>
      </c>
      <c r="H127" t="s">
        <v>272</v>
      </c>
      <c r="I127" t="str">
        <f t="shared" si="7"/>
        <v>OK</v>
      </c>
      <c r="J127" t="str">
        <f t="shared" si="8"/>
        <v>OK</v>
      </c>
      <c r="K127" t="str">
        <f t="shared" si="9"/>
        <v>Unique</v>
      </c>
      <c r="L127" t="str">
        <f t="shared" si="10"/>
        <v>OK</v>
      </c>
      <c r="M127" t="str">
        <f t="shared" si="11"/>
        <v>CLEAN</v>
      </c>
      <c r="N127" t="str">
        <f t="shared" si="6"/>
        <v/>
      </c>
    </row>
    <row r="128" spans="1:14" x14ac:dyDescent="0.35">
      <c r="A128" t="s">
        <v>273</v>
      </c>
      <c r="B128" t="s">
        <v>16</v>
      </c>
      <c r="C128" t="s">
        <v>12</v>
      </c>
      <c r="D128">
        <v>1</v>
      </c>
      <c r="E128">
        <v>195336.34</v>
      </c>
      <c r="F128">
        <v>195336.34</v>
      </c>
      <c r="G128" s="1">
        <v>45788</v>
      </c>
      <c r="H128" t="s">
        <v>1108</v>
      </c>
      <c r="I128" t="str">
        <f t="shared" si="7"/>
        <v>OK</v>
      </c>
      <c r="J128" t="str">
        <f t="shared" si="8"/>
        <v>OK</v>
      </c>
      <c r="K128" t="str">
        <f t="shared" si="9"/>
        <v>Unique</v>
      </c>
      <c r="L128" t="str">
        <f t="shared" si="10"/>
        <v>OK</v>
      </c>
      <c r="M128" t="str">
        <f t="shared" si="11"/>
        <v>CLEAN</v>
      </c>
      <c r="N128" t="str">
        <f t="shared" si="6"/>
        <v/>
      </c>
    </row>
    <row r="129" spans="1:14" x14ac:dyDescent="0.35">
      <c r="A129" t="s">
        <v>274</v>
      </c>
      <c r="B129" t="s">
        <v>34</v>
      </c>
      <c r="C129" t="s">
        <v>23</v>
      </c>
      <c r="D129">
        <v>1</v>
      </c>
      <c r="E129">
        <v>226895.35999999999</v>
      </c>
      <c r="F129">
        <v>226895.35999999999</v>
      </c>
      <c r="G129" s="1">
        <v>45140</v>
      </c>
      <c r="H129" t="s">
        <v>275</v>
      </c>
      <c r="I129" t="str">
        <f t="shared" si="7"/>
        <v>OK</v>
      </c>
      <c r="J129" t="str">
        <f t="shared" si="8"/>
        <v>OK</v>
      </c>
      <c r="K129" t="str">
        <f t="shared" si="9"/>
        <v>Unique</v>
      </c>
      <c r="L129" t="str">
        <f t="shared" si="10"/>
        <v>OK</v>
      </c>
      <c r="M129" t="str">
        <f t="shared" si="11"/>
        <v>CLEAN</v>
      </c>
      <c r="N129" t="str">
        <f t="shared" si="6"/>
        <v/>
      </c>
    </row>
    <row r="130" spans="1:14" x14ac:dyDescent="0.35">
      <c r="A130" t="s">
        <v>276</v>
      </c>
      <c r="B130" t="s">
        <v>11</v>
      </c>
      <c r="C130" t="s">
        <v>17</v>
      </c>
      <c r="D130">
        <v>56</v>
      </c>
      <c r="E130">
        <v>86529.89</v>
      </c>
      <c r="F130">
        <v>4845673.84</v>
      </c>
      <c r="G130" s="1">
        <v>45181</v>
      </c>
      <c r="H130" t="s">
        <v>277</v>
      </c>
      <c r="I130" t="str">
        <f t="shared" si="7"/>
        <v>OK</v>
      </c>
      <c r="J130" t="str">
        <f t="shared" si="8"/>
        <v>OK</v>
      </c>
      <c r="K130" t="str">
        <f t="shared" si="9"/>
        <v>Unique</v>
      </c>
      <c r="L130" t="str">
        <f t="shared" si="10"/>
        <v>OK</v>
      </c>
      <c r="M130" t="str">
        <f t="shared" si="11"/>
        <v>CLEAN</v>
      </c>
      <c r="N130" t="str">
        <f t="shared" ref="N130:N193" si="12">_xlfn.TEXTJOIN(", ",TRUE,
IF(I130&lt;&gt;"OK","Price Issue",""),
IF(J130&lt;&gt;"OK","Zero Sale",""),
IF(K130&lt;&gt;"Unique","Duplicate Order",""),
IF(L130&lt;&gt;"OK","Missing Date","")
)</f>
        <v/>
      </c>
    </row>
    <row r="131" spans="1:14" x14ac:dyDescent="0.35">
      <c r="A131" t="s">
        <v>278</v>
      </c>
      <c r="B131" t="s">
        <v>31</v>
      </c>
      <c r="C131" t="s">
        <v>17</v>
      </c>
      <c r="D131">
        <v>1</v>
      </c>
      <c r="E131">
        <v>85981.89</v>
      </c>
      <c r="F131">
        <v>85981.89</v>
      </c>
      <c r="G131" s="1">
        <v>45153</v>
      </c>
      <c r="H131" t="s">
        <v>279</v>
      </c>
      <c r="I131" t="str">
        <f t="shared" ref="I131:I194" si="13">IF(E131=0,"Check Price","OK")</f>
        <v>OK</v>
      </c>
      <c r="J131" t="str">
        <f t="shared" ref="J131:J194" si="14">IF(F131=0,"Zero Sale","OK")</f>
        <v>OK</v>
      </c>
      <c r="K131" t="str">
        <f t="shared" ref="K131:K194" si="15">IF(COUNTIF($H:$H,H131)&gt;1,"Duplicate","Unique")</f>
        <v>Unique</v>
      </c>
      <c r="L131" t="str">
        <f t="shared" ref="L131:L194" si="16">IF(G131="","Missing Date","OK")</f>
        <v>OK</v>
      </c>
      <c r="M131" t="str">
        <f t="shared" ref="M131:M194" si="17">IF(COUNTIF(I131:J131,"&lt;&gt;OK")&gt;0,"EXCEPTION","CLEAN")</f>
        <v>CLEAN</v>
      </c>
      <c r="N131" t="str">
        <f t="shared" si="12"/>
        <v/>
      </c>
    </row>
    <row r="132" spans="1:14" x14ac:dyDescent="0.35">
      <c r="A132" t="s">
        <v>1047</v>
      </c>
      <c r="B132" t="s">
        <v>34</v>
      </c>
      <c r="C132" t="s">
        <v>70</v>
      </c>
      <c r="D132">
        <v>1</v>
      </c>
      <c r="E132">
        <v>0</v>
      </c>
      <c r="F132">
        <v>0</v>
      </c>
      <c r="G132" s="1">
        <v>45616</v>
      </c>
      <c r="H132" t="s">
        <v>280</v>
      </c>
      <c r="I132" t="str">
        <f t="shared" si="13"/>
        <v>Check Price</v>
      </c>
      <c r="J132" t="str">
        <f t="shared" si="14"/>
        <v>Zero Sale</v>
      </c>
      <c r="K132" t="str">
        <f t="shared" si="15"/>
        <v>Unique</v>
      </c>
      <c r="L132" t="str">
        <f t="shared" si="16"/>
        <v>OK</v>
      </c>
      <c r="M132" t="str">
        <f t="shared" si="17"/>
        <v>EXCEPTION</v>
      </c>
      <c r="N132" t="str">
        <f t="shared" si="12"/>
        <v>Price Issue, Zero Sale</v>
      </c>
    </row>
    <row r="133" spans="1:14" x14ac:dyDescent="0.35">
      <c r="A133" t="s">
        <v>281</v>
      </c>
      <c r="B133" t="s">
        <v>16</v>
      </c>
      <c r="C133" t="s">
        <v>23</v>
      </c>
      <c r="D133">
        <v>1</v>
      </c>
      <c r="E133">
        <v>18219.189999999999</v>
      </c>
      <c r="F133">
        <v>18219.189999999999</v>
      </c>
      <c r="G133" s="1">
        <v>45716</v>
      </c>
      <c r="H133" t="s">
        <v>282</v>
      </c>
      <c r="I133" t="str">
        <f t="shared" si="13"/>
        <v>OK</v>
      </c>
      <c r="J133" t="str">
        <f t="shared" si="14"/>
        <v>OK</v>
      </c>
      <c r="K133" t="str">
        <f t="shared" si="15"/>
        <v>Unique</v>
      </c>
      <c r="L133" t="str">
        <f t="shared" si="16"/>
        <v>OK</v>
      </c>
      <c r="M133" t="str">
        <f t="shared" si="17"/>
        <v>CLEAN</v>
      </c>
      <c r="N133" t="str">
        <f t="shared" si="12"/>
        <v/>
      </c>
    </row>
    <row r="134" spans="1:14" x14ac:dyDescent="0.35">
      <c r="A134" t="s">
        <v>283</v>
      </c>
      <c r="B134" t="s">
        <v>89</v>
      </c>
      <c r="C134" t="s">
        <v>55</v>
      </c>
      <c r="D134">
        <v>1</v>
      </c>
      <c r="E134">
        <v>230733.14</v>
      </c>
      <c r="F134">
        <v>230733.14</v>
      </c>
      <c r="G134" s="1">
        <v>45565</v>
      </c>
      <c r="H134" t="s">
        <v>284</v>
      </c>
      <c r="I134" t="str">
        <f t="shared" si="13"/>
        <v>OK</v>
      </c>
      <c r="J134" t="str">
        <f t="shared" si="14"/>
        <v>OK</v>
      </c>
      <c r="K134" t="str">
        <f t="shared" si="15"/>
        <v>Unique</v>
      </c>
      <c r="L134" t="str">
        <f t="shared" si="16"/>
        <v>OK</v>
      </c>
      <c r="M134" t="str">
        <f t="shared" si="17"/>
        <v>CLEAN</v>
      </c>
      <c r="N134" t="str">
        <f t="shared" si="12"/>
        <v/>
      </c>
    </row>
    <row r="135" spans="1:14" x14ac:dyDescent="0.35">
      <c r="A135" t="s">
        <v>285</v>
      </c>
      <c r="B135" t="s">
        <v>31</v>
      </c>
      <c r="C135" t="s">
        <v>27</v>
      </c>
      <c r="D135">
        <v>6</v>
      </c>
      <c r="E135">
        <v>195863.47</v>
      </c>
      <c r="F135">
        <v>1175180.82</v>
      </c>
      <c r="G135" s="1">
        <v>45323</v>
      </c>
      <c r="H135" t="s">
        <v>286</v>
      </c>
      <c r="I135" t="str">
        <f t="shared" si="13"/>
        <v>OK</v>
      </c>
      <c r="J135" t="str">
        <f t="shared" si="14"/>
        <v>OK</v>
      </c>
      <c r="K135" t="str">
        <f t="shared" si="15"/>
        <v>Unique</v>
      </c>
      <c r="L135" t="str">
        <f t="shared" si="16"/>
        <v>OK</v>
      </c>
      <c r="M135" t="str">
        <f t="shared" si="17"/>
        <v>CLEAN</v>
      </c>
      <c r="N135" t="str">
        <f t="shared" si="12"/>
        <v/>
      </c>
    </row>
    <row r="136" spans="1:14" x14ac:dyDescent="0.35">
      <c r="A136" t="s">
        <v>287</v>
      </c>
      <c r="B136" t="s">
        <v>131</v>
      </c>
      <c r="C136" t="s">
        <v>46</v>
      </c>
      <c r="D136">
        <v>1</v>
      </c>
      <c r="E136">
        <v>70049.95</v>
      </c>
      <c r="F136">
        <v>70049.95</v>
      </c>
      <c r="G136" s="1">
        <v>45623</v>
      </c>
      <c r="H136" t="s">
        <v>288</v>
      </c>
      <c r="I136" t="str">
        <f t="shared" si="13"/>
        <v>OK</v>
      </c>
      <c r="J136" t="str">
        <f t="shared" si="14"/>
        <v>OK</v>
      </c>
      <c r="K136" t="str">
        <f t="shared" si="15"/>
        <v>Unique</v>
      </c>
      <c r="L136" t="str">
        <f t="shared" si="16"/>
        <v>OK</v>
      </c>
      <c r="M136" t="str">
        <f t="shared" si="17"/>
        <v>CLEAN</v>
      </c>
      <c r="N136" t="str">
        <f t="shared" si="12"/>
        <v/>
      </c>
    </row>
    <row r="137" spans="1:14" x14ac:dyDescent="0.35">
      <c r="A137" t="s">
        <v>289</v>
      </c>
      <c r="B137" t="s">
        <v>42</v>
      </c>
      <c r="C137" t="s">
        <v>23</v>
      </c>
      <c r="D137">
        <v>8</v>
      </c>
      <c r="E137">
        <v>221736.61</v>
      </c>
      <c r="F137">
        <v>1773892.88</v>
      </c>
      <c r="G137" s="1">
        <v>45281</v>
      </c>
      <c r="H137" t="s">
        <v>290</v>
      </c>
      <c r="I137" t="str">
        <f t="shared" si="13"/>
        <v>OK</v>
      </c>
      <c r="J137" t="str">
        <f t="shared" si="14"/>
        <v>OK</v>
      </c>
      <c r="K137" t="str">
        <f t="shared" si="15"/>
        <v>Unique</v>
      </c>
      <c r="L137" t="str">
        <f t="shared" si="16"/>
        <v>OK</v>
      </c>
      <c r="M137" t="str">
        <f t="shared" si="17"/>
        <v>CLEAN</v>
      </c>
      <c r="N137" t="str">
        <f t="shared" si="12"/>
        <v/>
      </c>
    </row>
    <row r="138" spans="1:14" x14ac:dyDescent="0.35">
      <c r="A138" t="s">
        <v>291</v>
      </c>
      <c r="B138" t="s">
        <v>85</v>
      </c>
      <c r="C138" t="s">
        <v>17</v>
      </c>
      <c r="D138">
        <v>1</v>
      </c>
      <c r="E138">
        <v>255174.76</v>
      </c>
      <c r="F138">
        <v>255174.76</v>
      </c>
      <c r="G138" s="1">
        <v>45713</v>
      </c>
      <c r="H138" t="s">
        <v>292</v>
      </c>
      <c r="I138" t="str">
        <f t="shared" si="13"/>
        <v>OK</v>
      </c>
      <c r="J138" t="str">
        <f t="shared" si="14"/>
        <v>OK</v>
      </c>
      <c r="K138" t="str">
        <f t="shared" si="15"/>
        <v>Unique</v>
      </c>
      <c r="L138" t="str">
        <f t="shared" si="16"/>
        <v>OK</v>
      </c>
      <c r="M138" t="str">
        <f t="shared" si="17"/>
        <v>CLEAN</v>
      </c>
      <c r="N138" t="str">
        <f t="shared" si="12"/>
        <v/>
      </c>
    </row>
    <row r="139" spans="1:14" x14ac:dyDescent="0.35">
      <c r="A139" t="s">
        <v>293</v>
      </c>
      <c r="B139" t="s">
        <v>76</v>
      </c>
      <c r="C139" t="s">
        <v>27</v>
      </c>
      <c r="D139">
        <v>28</v>
      </c>
      <c r="E139">
        <v>11670.82</v>
      </c>
      <c r="F139">
        <v>326782.95999999996</v>
      </c>
      <c r="G139" s="1">
        <v>45562</v>
      </c>
      <c r="H139" t="s">
        <v>294</v>
      </c>
      <c r="I139" t="str">
        <f t="shared" si="13"/>
        <v>OK</v>
      </c>
      <c r="J139" t="str">
        <f t="shared" si="14"/>
        <v>OK</v>
      </c>
      <c r="K139" t="str">
        <f t="shared" si="15"/>
        <v>Unique</v>
      </c>
      <c r="L139" t="str">
        <f t="shared" si="16"/>
        <v>OK</v>
      </c>
      <c r="M139" t="str">
        <f t="shared" si="17"/>
        <v>CLEAN</v>
      </c>
      <c r="N139" t="str">
        <f t="shared" si="12"/>
        <v/>
      </c>
    </row>
    <row r="140" spans="1:14" x14ac:dyDescent="0.35">
      <c r="A140" t="s">
        <v>295</v>
      </c>
      <c r="B140" t="s">
        <v>11</v>
      </c>
      <c r="C140" t="s">
        <v>17</v>
      </c>
      <c r="D140">
        <v>1</v>
      </c>
      <c r="E140">
        <v>276480.53000000003</v>
      </c>
      <c r="F140">
        <v>276480.53000000003</v>
      </c>
      <c r="G140" s="1">
        <v>45441</v>
      </c>
      <c r="H140" t="s">
        <v>296</v>
      </c>
      <c r="I140" t="str">
        <f t="shared" si="13"/>
        <v>OK</v>
      </c>
      <c r="J140" t="str">
        <f t="shared" si="14"/>
        <v>OK</v>
      </c>
      <c r="K140" t="str">
        <f t="shared" si="15"/>
        <v>Unique</v>
      </c>
      <c r="L140" t="str">
        <f t="shared" si="16"/>
        <v>OK</v>
      </c>
      <c r="M140" t="str">
        <f t="shared" si="17"/>
        <v>CLEAN</v>
      </c>
      <c r="N140" t="str">
        <f t="shared" si="12"/>
        <v/>
      </c>
    </row>
    <row r="141" spans="1:14" x14ac:dyDescent="0.35">
      <c r="A141" t="s">
        <v>297</v>
      </c>
      <c r="B141" t="s">
        <v>16</v>
      </c>
      <c r="C141" t="s">
        <v>70</v>
      </c>
      <c r="D141">
        <v>1</v>
      </c>
      <c r="E141">
        <v>125656.55</v>
      </c>
      <c r="F141">
        <v>125656.55</v>
      </c>
      <c r="G141" s="1">
        <v>45598</v>
      </c>
      <c r="H141" t="s">
        <v>298</v>
      </c>
      <c r="I141" t="str">
        <f t="shared" si="13"/>
        <v>OK</v>
      </c>
      <c r="J141" t="str">
        <f t="shared" si="14"/>
        <v>OK</v>
      </c>
      <c r="K141" t="str">
        <f t="shared" si="15"/>
        <v>Unique</v>
      </c>
      <c r="L141" t="str">
        <f t="shared" si="16"/>
        <v>OK</v>
      </c>
      <c r="M141" t="str">
        <f t="shared" si="17"/>
        <v>CLEAN</v>
      </c>
      <c r="N141" t="str">
        <f t="shared" si="12"/>
        <v/>
      </c>
    </row>
    <row r="142" spans="1:14" x14ac:dyDescent="0.35">
      <c r="A142" t="s">
        <v>299</v>
      </c>
      <c r="B142" t="s">
        <v>58</v>
      </c>
      <c r="C142" t="s">
        <v>55</v>
      </c>
      <c r="D142">
        <v>16</v>
      </c>
      <c r="E142">
        <v>0</v>
      </c>
      <c r="F142">
        <v>0</v>
      </c>
      <c r="G142" s="1">
        <v>45614</v>
      </c>
      <c r="H142" t="s">
        <v>1109</v>
      </c>
      <c r="I142" t="str">
        <f t="shared" si="13"/>
        <v>Check Price</v>
      </c>
      <c r="J142" t="str">
        <f t="shared" si="14"/>
        <v>Zero Sale</v>
      </c>
      <c r="K142" t="str">
        <f t="shared" si="15"/>
        <v>Unique</v>
      </c>
      <c r="L142" t="str">
        <f t="shared" si="16"/>
        <v>OK</v>
      </c>
      <c r="M142" t="str">
        <f t="shared" si="17"/>
        <v>EXCEPTION</v>
      </c>
      <c r="N142" t="str">
        <f t="shared" si="12"/>
        <v>Price Issue, Zero Sale</v>
      </c>
    </row>
    <row r="143" spans="1:14" x14ac:dyDescent="0.35">
      <c r="A143" t="s">
        <v>300</v>
      </c>
      <c r="B143" t="s">
        <v>85</v>
      </c>
      <c r="C143" t="s">
        <v>90</v>
      </c>
      <c r="D143">
        <v>1</v>
      </c>
      <c r="E143">
        <v>251362.66</v>
      </c>
      <c r="F143">
        <v>251362.66</v>
      </c>
      <c r="G143" s="1">
        <v>45141</v>
      </c>
      <c r="H143" t="s">
        <v>301</v>
      </c>
      <c r="I143" t="str">
        <f t="shared" si="13"/>
        <v>OK</v>
      </c>
      <c r="J143" t="str">
        <f t="shared" si="14"/>
        <v>OK</v>
      </c>
      <c r="K143" t="str">
        <f t="shared" si="15"/>
        <v>Unique</v>
      </c>
      <c r="L143" t="str">
        <f t="shared" si="16"/>
        <v>OK</v>
      </c>
      <c r="M143" t="str">
        <f t="shared" si="17"/>
        <v>CLEAN</v>
      </c>
      <c r="N143" t="str">
        <f t="shared" si="12"/>
        <v/>
      </c>
    </row>
    <row r="144" spans="1:14" x14ac:dyDescent="0.35">
      <c r="A144" t="s">
        <v>302</v>
      </c>
      <c r="B144" t="s">
        <v>58</v>
      </c>
      <c r="C144" t="s">
        <v>17</v>
      </c>
      <c r="D144">
        <v>56</v>
      </c>
      <c r="E144">
        <v>280209.82</v>
      </c>
      <c r="F144">
        <v>15691749.92</v>
      </c>
      <c r="G144" s="1">
        <v>45504</v>
      </c>
      <c r="H144" t="s">
        <v>303</v>
      </c>
      <c r="I144" t="str">
        <f t="shared" si="13"/>
        <v>OK</v>
      </c>
      <c r="J144" t="str">
        <f t="shared" si="14"/>
        <v>OK</v>
      </c>
      <c r="K144" t="str">
        <f t="shared" si="15"/>
        <v>Unique</v>
      </c>
      <c r="L144" t="str">
        <f t="shared" si="16"/>
        <v>OK</v>
      </c>
      <c r="M144" t="str">
        <f t="shared" si="17"/>
        <v>CLEAN</v>
      </c>
      <c r="N144" t="str">
        <f t="shared" si="12"/>
        <v/>
      </c>
    </row>
    <row r="145" spans="1:14" x14ac:dyDescent="0.35">
      <c r="A145" t="s">
        <v>1047</v>
      </c>
      <c r="B145" t="s">
        <v>31</v>
      </c>
      <c r="C145" t="s">
        <v>55</v>
      </c>
      <c r="D145">
        <v>1</v>
      </c>
      <c r="E145">
        <v>11383.78</v>
      </c>
      <c r="F145">
        <v>11383.78</v>
      </c>
      <c r="G145" s="1">
        <v>45808</v>
      </c>
      <c r="H145" t="s">
        <v>304</v>
      </c>
      <c r="I145" t="str">
        <f t="shared" si="13"/>
        <v>OK</v>
      </c>
      <c r="J145" t="str">
        <f t="shared" si="14"/>
        <v>OK</v>
      </c>
      <c r="K145" t="str">
        <f t="shared" si="15"/>
        <v>Unique</v>
      </c>
      <c r="L145" t="str">
        <f t="shared" si="16"/>
        <v>OK</v>
      </c>
      <c r="M145" t="str">
        <f t="shared" si="17"/>
        <v>CLEAN</v>
      </c>
      <c r="N145" t="str">
        <f t="shared" si="12"/>
        <v/>
      </c>
    </row>
    <row r="146" spans="1:14" x14ac:dyDescent="0.35">
      <c r="A146" t="s">
        <v>305</v>
      </c>
      <c r="B146" t="s">
        <v>131</v>
      </c>
      <c r="C146" t="s">
        <v>12</v>
      </c>
      <c r="D146">
        <v>1</v>
      </c>
      <c r="E146">
        <v>250942.86</v>
      </c>
      <c r="F146">
        <v>250942.86</v>
      </c>
      <c r="G146" s="1">
        <v>45605</v>
      </c>
      <c r="H146" t="s">
        <v>306</v>
      </c>
      <c r="I146" t="str">
        <f t="shared" si="13"/>
        <v>OK</v>
      </c>
      <c r="J146" t="str">
        <f t="shared" si="14"/>
        <v>OK</v>
      </c>
      <c r="K146" t="str">
        <f t="shared" si="15"/>
        <v>Unique</v>
      </c>
      <c r="L146" t="str">
        <f t="shared" si="16"/>
        <v>OK</v>
      </c>
      <c r="M146" t="str">
        <f t="shared" si="17"/>
        <v>CLEAN</v>
      </c>
      <c r="N146" t="str">
        <f t="shared" si="12"/>
        <v/>
      </c>
    </row>
    <row r="147" spans="1:14" x14ac:dyDescent="0.35">
      <c r="A147" t="s">
        <v>307</v>
      </c>
      <c r="B147" t="s">
        <v>58</v>
      </c>
      <c r="C147" t="s">
        <v>17</v>
      </c>
      <c r="D147">
        <v>1</v>
      </c>
      <c r="E147">
        <v>236494.21</v>
      </c>
      <c r="F147">
        <v>236494.21</v>
      </c>
      <c r="G147" s="1">
        <v>45541</v>
      </c>
      <c r="H147" t="s">
        <v>308</v>
      </c>
      <c r="I147" t="str">
        <f t="shared" si="13"/>
        <v>OK</v>
      </c>
      <c r="J147" t="str">
        <f t="shared" si="14"/>
        <v>OK</v>
      </c>
      <c r="K147" t="str">
        <f t="shared" si="15"/>
        <v>Unique</v>
      </c>
      <c r="L147" t="str">
        <f t="shared" si="16"/>
        <v>OK</v>
      </c>
      <c r="M147" t="str">
        <f t="shared" si="17"/>
        <v>CLEAN</v>
      </c>
      <c r="N147" t="str">
        <f t="shared" si="12"/>
        <v/>
      </c>
    </row>
    <row r="148" spans="1:14" x14ac:dyDescent="0.35">
      <c r="A148" t="s">
        <v>309</v>
      </c>
      <c r="B148" t="s">
        <v>61</v>
      </c>
      <c r="C148" t="s">
        <v>27</v>
      </c>
      <c r="D148">
        <v>1</v>
      </c>
      <c r="E148">
        <v>56300.33</v>
      </c>
      <c r="F148">
        <v>56300.33</v>
      </c>
      <c r="G148" s="1">
        <v>45342</v>
      </c>
      <c r="H148" t="s">
        <v>310</v>
      </c>
      <c r="I148" t="str">
        <f t="shared" si="13"/>
        <v>OK</v>
      </c>
      <c r="J148" t="str">
        <f t="shared" si="14"/>
        <v>OK</v>
      </c>
      <c r="K148" t="str">
        <f t="shared" si="15"/>
        <v>Unique</v>
      </c>
      <c r="L148" t="str">
        <f t="shared" si="16"/>
        <v>OK</v>
      </c>
      <c r="M148" t="str">
        <f t="shared" si="17"/>
        <v>CLEAN</v>
      </c>
      <c r="N148" t="str">
        <f t="shared" si="12"/>
        <v/>
      </c>
    </row>
    <row r="149" spans="1:14" x14ac:dyDescent="0.35">
      <c r="A149" t="s">
        <v>311</v>
      </c>
      <c r="B149" t="s">
        <v>53</v>
      </c>
      <c r="C149" t="s">
        <v>55</v>
      </c>
      <c r="D149">
        <v>46</v>
      </c>
      <c r="E149">
        <v>224826.46</v>
      </c>
      <c r="F149">
        <v>10342017.16</v>
      </c>
      <c r="G149" s="1">
        <v>45616</v>
      </c>
      <c r="H149" t="s">
        <v>312</v>
      </c>
      <c r="I149" t="str">
        <f t="shared" si="13"/>
        <v>OK</v>
      </c>
      <c r="J149" t="str">
        <f t="shared" si="14"/>
        <v>OK</v>
      </c>
      <c r="K149" t="str">
        <f t="shared" si="15"/>
        <v>Unique</v>
      </c>
      <c r="L149" t="str">
        <f t="shared" si="16"/>
        <v>OK</v>
      </c>
      <c r="M149" t="str">
        <f t="shared" si="17"/>
        <v>CLEAN</v>
      </c>
      <c r="N149" t="str">
        <f t="shared" si="12"/>
        <v/>
      </c>
    </row>
    <row r="150" spans="1:14" x14ac:dyDescent="0.35">
      <c r="A150" t="s">
        <v>313</v>
      </c>
      <c r="B150" t="s">
        <v>26</v>
      </c>
      <c r="C150" t="s">
        <v>23</v>
      </c>
      <c r="D150">
        <v>1</v>
      </c>
      <c r="E150">
        <v>261751.06</v>
      </c>
      <c r="F150">
        <v>261751.06</v>
      </c>
      <c r="G150" s="1">
        <v>45352</v>
      </c>
      <c r="H150" t="s">
        <v>314</v>
      </c>
      <c r="I150" t="str">
        <f t="shared" si="13"/>
        <v>OK</v>
      </c>
      <c r="J150" t="str">
        <f t="shared" si="14"/>
        <v>OK</v>
      </c>
      <c r="K150" t="str">
        <f t="shared" si="15"/>
        <v>Unique</v>
      </c>
      <c r="L150" t="str">
        <f t="shared" si="16"/>
        <v>OK</v>
      </c>
      <c r="M150" t="str">
        <f t="shared" si="17"/>
        <v>CLEAN</v>
      </c>
      <c r="N150" t="str">
        <f t="shared" si="12"/>
        <v/>
      </c>
    </row>
    <row r="151" spans="1:14" x14ac:dyDescent="0.35">
      <c r="A151" t="s">
        <v>315</v>
      </c>
      <c r="B151" t="s">
        <v>109</v>
      </c>
      <c r="C151" t="s">
        <v>55</v>
      </c>
      <c r="D151">
        <v>1</v>
      </c>
      <c r="E151">
        <v>87195.36</v>
      </c>
      <c r="F151">
        <v>87195.36</v>
      </c>
      <c r="G151" s="1">
        <v>45493</v>
      </c>
      <c r="H151" t="s">
        <v>316</v>
      </c>
      <c r="I151" t="str">
        <f t="shared" si="13"/>
        <v>OK</v>
      </c>
      <c r="J151" t="str">
        <f t="shared" si="14"/>
        <v>OK</v>
      </c>
      <c r="K151" t="str">
        <f t="shared" si="15"/>
        <v>Unique</v>
      </c>
      <c r="L151" t="str">
        <f t="shared" si="16"/>
        <v>OK</v>
      </c>
      <c r="M151" t="str">
        <f t="shared" si="17"/>
        <v>CLEAN</v>
      </c>
      <c r="N151" t="str">
        <f t="shared" si="12"/>
        <v/>
      </c>
    </row>
    <row r="152" spans="1:14" x14ac:dyDescent="0.35">
      <c r="A152" t="s">
        <v>317</v>
      </c>
      <c r="B152" t="s">
        <v>85</v>
      </c>
      <c r="C152" t="s">
        <v>23</v>
      </c>
      <c r="D152">
        <v>1</v>
      </c>
      <c r="E152">
        <v>0</v>
      </c>
      <c r="F152">
        <v>0</v>
      </c>
      <c r="G152" s="1">
        <v>45308</v>
      </c>
      <c r="H152" t="s">
        <v>318</v>
      </c>
      <c r="I152" t="str">
        <f t="shared" si="13"/>
        <v>Check Price</v>
      </c>
      <c r="J152" t="str">
        <f t="shared" si="14"/>
        <v>Zero Sale</v>
      </c>
      <c r="K152" t="str">
        <f t="shared" si="15"/>
        <v>Unique</v>
      </c>
      <c r="L152" t="str">
        <f t="shared" si="16"/>
        <v>OK</v>
      </c>
      <c r="M152" t="str">
        <f t="shared" si="17"/>
        <v>EXCEPTION</v>
      </c>
      <c r="N152" t="str">
        <f t="shared" si="12"/>
        <v>Price Issue, Zero Sale</v>
      </c>
    </row>
    <row r="153" spans="1:14" x14ac:dyDescent="0.35">
      <c r="A153" t="s">
        <v>319</v>
      </c>
      <c r="B153" t="s">
        <v>34</v>
      </c>
      <c r="C153" t="s">
        <v>23</v>
      </c>
      <c r="D153">
        <v>1</v>
      </c>
      <c r="E153">
        <v>11721.12</v>
      </c>
      <c r="F153">
        <v>11721.12</v>
      </c>
      <c r="G153" s="1">
        <v>45743</v>
      </c>
      <c r="H153" t="s">
        <v>320</v>
      </c>
      <c r="I153" t="str">
        <f t="shared" si="13"/>
        <v>OK</v>
      </c>
      <c r="J153" t="str">
        <f t="shared" si="14"/>
        <v>OK</v>
      </c>
      <c r="K153" t="str">
        <f t="shared" si="15"/>
        <v>Unique</v>
      </c>
      <c r="L153" t="str">
        <f t="shared" si="16"/>
        <v>OK</v>
      </c>
      <c r="M153" t="str">
        <f t="shared" si="17"/>
        <v>CLEAN</v>
      </c>
      <c r="N153" t="str">
        <f t="shared" si="12"/>
        <v/>
      </c>
    </row>
    <row r="154" spans="1:14" x14ac:dyDescent="0.35">
      <c r="A154" t="s">
        <v>321</v>
      </c>
      <c r="B154" t="s">
        <v>58</v>
      </c>
      <c r="C154" t="s">
        <v>90</v>
      </c>
      <c r="D154">
        <v>1</v>
      </c>
      <c r="E154">
        <v>89868.47</v>
      </c>
      <c r="F154">
        <v>89868.47</v>
      </c>
      <c r="G154" s="1">
        <v>45745</v>
      </c>
      <c r="H154" t="s">
        <v>322</v>
      </c>
      <c r="I154" t="str">
        <f t="shared" si="13"/>
        <v>OK</v>
      </c>
      <c r="J154" t="str">
        <f t="shared" si="14"/>
        <v>OK</v>
      </c>
      <c r="K154" t="str">
        <f t="shared" si="15"/>
        <v>Unique</v>
      </c>
      <c r="L154" t="str">
        <f t="shared" si="16"/>
        <v>OK</v>
      </c>
      <c r="M154" t="str">
        <f t="shared" si="17"/>
        <v>CLEAN</v>
      </c>
      <c r="N154" t="str">
        <f t="shared" si="12"/>
        <v/>
      </c>
    </row>
    <row r="155" spans="1:14" x14ac:dyDescent="0.35">
      <c r="A155" t="s">
        <v>323</v>
      </c>
      <c r="B155" t="s">
        <v>11</v>
      </c>
      <c r="C155" t="s">
        <v>27</v>
      </c>
      <c r="D155">
        <v>1</v>
      </c>
      <c r="E155">
        <v>181033.5</v>
      </c>
      <c r="F155">
        <v>181033.5</v>
      </c>
      <c r="G155" s="1">
        <v>45650</v>
      </c>
      <c r="H155" t="s">
        <v>324</v>
      </c>
      <c r="I155" t="str">
        <f t="shared" si="13"/>
        <v>OK</v>
      </c>
      <c r="J155" t="str">
        <f t="shared" si="14"/>
        <v>OK</v>
      </c>
      <c r="K155" t="str">
        <f t="shared" si="15"/>
        <v>Unique</v>
      </c>
      <c r="L155" t="str">
        <f t="shared" si="16"/>
        <v>OK</v>
      </c>
      <c r="M155" t="str">
        <f t="shared" si="17"/>
        <v>CLEAN</v>
      </c>
      <c r="N155" t="str">
        <f t="shared" si="12"/>
        <v/>
      </c>
    </row>
    <row r="156" spans="1:14" x14ac:dyDescent="0.35">
      <c r="A156" t="s">
        <v>325</v>
      </c>
      <c r="B156" t="s">
        <v>61</v>
      </c>
      <c r="C156" t="s">
        <v>46</v>
      </c>
      <c r="D156">
        <v>1</v>
      </c>
      <c r="E156">
        <v>278572.23</v>
      </c>
      <c r="F156">
        <v>278572.23</v>
      </c>
      <c r="G156" s="1">
        <v>45433</v>
      </c>
      <c r="H156" t="s">
        <v>1110</v>
      </c>
      <c r="I156" t="str">
        <f t="shared" si="13"/>
        <v>OK</v>
      </c>
      <c r="J156" t="str">
        <f t="shared" si="14"/>
        <v>OK</v>
      </c>
      <c r="K156" t="str">
        <f t="shared" si="15"/>
        <v>Unique</v>
      </c>
      <c r="L156" t="str">
        <f t="shared" si="16"/>
        <v>OK</v>
      </c>
      <c r="M156" t="str">
        <f t="shared" si="17"/>
        <v>CLEAN</v>
      </c>
      <c r="N156" t="str">
        <f t="shared" si="12"/>
        <v/>
      </c>
    </row>
    <row r="157" spans="1:14" x14ac:dyDescent="0.35">
      <c r="A157" t="s">
        <v>326</v>
      </c>
      <c r="B157" t="s">
        <v>89</v>
      </c>
      <c r="C157" t="s">
        <v>27</v>
      </c>
      <c r="D157">
        <v>1</v>
      </c>
      <c r="E157">
        <v>100845.11</v>
      </c>
      <c r="F157">
        <v>100845.11</v>
      </c>
      <c r="G157" s="1">
        <v>45349</v>
      </c>
      <c r="H157" t="s">
        <v>327</v>
      </c>
      <c r="I157" t="str">
        <f t="shared" si="13"/>
        <v>OK</v>
      </c>
      <c r="J157" t="str">
        <f t="shared" si="14"/>
        <v>OK</v>
      </c>
      <c r="K157" t="str">
        <f t="shared" si="15"/>
        <v>Unique</v>
      </c>
      <c r="L157" t="str">
        <f t="shared" si="16"/>
        <v>OK</v>
      </c>
      <c r="M157" t="str">
        <f t="shared" si="17"/>
        <v>CLEAN</v>
      </c>
      <c r="N157" t="str">
        <f t="shared" si="12"/>
        <v/>
      </c>
    </row>
    <row r="158" spans="1:14" x14ac:dyDescent="0.35">
      <c r="A158" t="s">
        <v>1047</v>
      </c>
      <c r="B158" t="s">
        <v>213</v>
      </c>
      <c r="C158" t="s">
        <v>70</v>
      </c>
      <c r="D158">
        <v>1</v>
      </c>
      <c r="E158">
        <v>136577.54999999999</v>
      </c>
      <c r="F158">
        <v>136577.54999999999</v>
      </c>
      <c r="G158" s="1">
        <v>45470</v>
      </c>
      <c r="H158" t="s">
        <v>328</v>
      </c>
      <c r="I158" t="str">
        <f t="shared" si="13"/>
        <v>OK</v>
      </c>
      <c r="J158" t="str">
        <f t="shared" si="14"/>
        <v>OK</v>
      </c>
      <c r="K158" t="str">
        <f t="shared" si="15"/>
        <v>Unique</v>
      </c>
      <c r="L158" t="str">
        <f t="shared" si="16"/>
        <v>OK</v>
      </c>
      <c r="M158" t="str">
        <f t="shared" si="17"/>
        <v>CLEAN</v>
      </c>
      <c r="N158" t="str">
        <f t="shared" si="12"/>
        <v/>
      </c>
    </row>
    <row r="159" spans="1:14" x14ac:dyDescent="0.35">
      <c r="A159" t="s">
        <v>329</v>
      </c>
      <c r="B159" t="s">
        <v>11</v>
      </c>
      <c r="C159" t="s">
        <v>17</v>
      </c>
      <c r="D159">
        <v>1</v>
      </c>
      <c r="E159">
        <v>192573.07</v>
      </c>
      <c r="F159">
        <v>192573.07</v>
      </c>
      <c r="G159" s="1">
        <v>45174</v>
      </c>
      <c r="H159" t="s">
        <v>330</v>
      </c>
      <c r="I159" t="str">
        <f t="shared" si="13"/>
        <v>OK</v>
      </c>
      <c r="J159" t="str">
        <f t="shared" si="14"/>
        <v>OK</v>
      </c>
      <c r="K159" t="str">
        <f t="shared" si="15"/>
        <v>Unique</v>
      </c>
      <c r="L159" t="str">
        <f t="shared" si="16"/>
        <v>OK</v>
      </c>
      <c r="M159" t="str">
        <f t="shared" si="17"/>
        <v>CLEAN</v>
      </c>
      <c r="N159" t="str">
        <f t="shared" si="12"/>
        <v/>
      </c>
    </row>
    <row r="160" spans="1:14" x14ac:dyDescent="0.35">
      <c r="A160" t="s">
        <v>331</v>
      </c>
      <c r="B160" t="s">
        <v>31</v>
      </c>
      <c r="C160" t="s">
        <v>27</v>
      </c>
      <c r="D160">
        <v>1</v>
      </c>
      <c r="E160">
        <v>157533.4</v>
      </c>
      <c r="F160">
        <v>157533.4</v>
      </c>
      <c r="G160" s="1">
        <v>45652</v>
      </c>
      <c r="H160" t="s">
        <v>332</v>
      </c>
      <c r="I160" t="str">
        <f t="shared" si="13"/>
        <v>OK</v>
      </c>
      <c r="J160" t="str">
        <f t="shared" si="14"/>
        <v>OK</v>
      </c>
      <c r="K160" t="str">
        <f t="shared" si="15"/>
        <v>Unique</v>
      </c>
      <c r="L160" t="str">
        <f t="shared" si="16"/>
        <v>OK</v>
      </c>
      <c r="M160" t="str">
        <f t="shared" si="17"/>
        <v>CLEAN</v>
      </c>
      <c r="N160" t="str">
        <f t="shared" si="12"/>
        <v/>
      </c>
    </row>
    <row r="161" spans="1:14" x14ac:dyDescent="0.35">
      <c r="A161" t="s">
        <v>333</v>
      </c>
      <c r="B161" t="s">
        <v>109</v>
      </c>
      <c r="C161" t="s">
        <v>17</v>
      </c>
      <c r="D161">
        <v>1</v>
      </c>
      <c r="E161">
        <v>266833.36</v>
      </c>
      <c r="F161">
        <v>266833.36</v>
      </c>
      <c r="G161" s="1">
        <v>45164</v>
      </c>
      <c r="H161" t="s">
        <v>334</v>
      </c>
      <c r="I161" t="str">
        <f t="shared" si="13"/>
        <v>OK</v>
      </c>
      <c r="J161" t="str">
        <f t="shared" si="14"/>
        <v>OK</v>
      </c>
      <c r="K161" t="str">
        <f t="shared" si="15"/>
        <v>Unique</v>
      </c>
      <c r="L161" t="str">
        <f t="shared" si="16"/>
        <v>OK</v>
      </c>
      <c r="M161" t="str">
        <f t="shared" si="17"/>
        <v>CLEAN</v>
      </c>
      <c r="N161" t="str">
        <f t="shared" si="12"/>
        <v/>
      </c>
    </row>
    <row r="162" spans="1:14" x14ac:dyDescent="0.35">
      <c r="A162" t="s">
        <v>335</v>
      </c>
      <c r="B162" t="s">
        <v>131</v>
      </c>
      <c r="C162" t="s">
        <v>17</v>
      </c>
      <c r="D162">
        <v>47</v>
      </c>
      <c r="E162">
        <v>0</v>
      </c>
      <c r="F162">
        <v>0</v>
      </c>
      <c r="G162" s="1">
        <v>45240</v>
      </c>
      <c r="H162" t="s">
        <v>336</v>
      </c>
      <c r="I162" t="str">
        <f t="shared" si="13"/>
        <v>Check Price</v>
      </c>
      <c r="J162" t="str">
        <f t="shared" si="14"/>
        <v>Zero Sale</v>
      </c>
      <c r="K162" t="str">
        <f t="shared" si="15"/>
        <v>Unique</v>
      </c>
      <c r="L162" t="str">
        <f t="shared" si="16"/>
        <v>OK</v>
      </c>
      <c r="M162" t="str">
        <f t="shared" si="17"/>
        <v>EXCEPTION</v>
      </c>
      <c r="N162" t="str">
        <f t="shared" si="12"/>
        <v>Price Issue, Zero Sale</v>
      </c>
    </row>
    <row r="163" spans="1:14" x14ac:dyDescent="0.35">
      <c r="A163" t="s">
        <v>337</v>
      </c>
      <c r="B163" t="s">
        <v>20</v>
      </c>
      <c r="C163" t="s">
        <v>17</v>
      </c>
      <c r="D163">
        <v>56</v>
      </c>
      <c r="E163">
        <v>40692.879999999997</v>
      </c>
      <c r="F163">
        <v>2278801.2799999998</v>
      </c>
      <c r="G163" s="1">
        <v>45459</v>
      </c>
      <c r="H163" t="s">
        <v>338</v>
      </c>
      <c r="I163" t="str">
        <f t="shared" si="13"/>
        <v>OK</v>
      </c>
      <c r="J163" t="str">
        <f t="shared" si="14"/>
        <v>OK</v>
      </c>
      <c r="K163" t="str">
        <f t="shared" si="15"/>
        <v>Unique</v>
      </c>
      <c r="L163" t="str">
        <f t="shared" si="16"/>
        <v>OK</v>
      </c>
      <c r="M163" t="str">
        <f t="shared" si="17"/>
        <v>CLEAN</v>
      </c>
      <c r="N163" t="str">
        <f t="shared" si="12"/>
        <v/>
      </c>
    </row>
    <row r="164" spans="1:14" x14ac:dyDescent="0.35">
      <c r="A164" t="s">
        <v>339</v>
      </c>
      <c r="B164" t="s">
        <v>45</v>
      </c>
      <c r="C164" t="s">
        <v>90</v>
      </c>
      <c r="D164">
        <v>1</v>
      </c>
      <c r="E164">
        <v>151511.70000000001</v>
      </c>
      <c r="F164">
        <v>151511.70000000001</v>
      </c>
      <c r="G164" s="1">
        <v>45440</v>
      </c>
      <c r="H164" t="s">
        <v>340</v>
      </c>
      <c r="I164" t="str">
        <f t="shared" si="13"/>
        <v>OK</v>
      </c>
      <c r="J164" t="str">
        <f t="shared" si="14"/>
        <v>OK</v>
      </c>
      <c r="K164" t="str">
        <f t="shared" si="15"/>
        <v>Unique</v>
      </c>
      <c r="L164" t="str">
        <f t="shared" si="16"/>
        <v>OK</v>
      </c>
      <c r="M164" t="str">
        <f t="shared" si="17"/>
        <v>CLEAN</v>
      </c>
      <c r="N164" t="str">
        <f t="shared" si="12"/>
        <v/>
      </c>
    </row>
    <row r="165" spans="1:14" x14ac:dyDescent="0.35">
      <c r="A165" t="s">
        <v>341</v>
      </c>
      <c r="B165" t="s">
        <v>20</v>
      </c>
      <c r="C165" t="s">
        <v>46</v>
      </c>
      <c r="D165">
        <v>1</v>
      </c>
      <c r="E165">
        <v>82214.710000000006</v>
      </c>
      <c r="F165">
        <v>82214.710000000006</v>
      </c>
      <c r="G165" s="1">
        <v>45494</v>
      </c>
      <c r="H165" t="s">
        <v>342</v>
      </c>
      <c r="I165" t="str">
        <f t="shared" si="13"/>
        <v>OK</v>
      </c>
      <c r="J165" t="str">
        <f t="shared" si="14"/>
        <v>OK</v>
      </c>
      <c r="K165" t="str">
        <f t="shared" si="15"/>
        <v>Unique</v>
      </c>
      <c r="L165" t="str">
        <f t="shared" si="16"/>
        <v>OK</v>
      </c>
      <c r="M165" t="str">
        <f t="shared" si="17"/>
        <v>CLEAN</v>
      </c>
      <c r="N165" t="str">
        <f t="shared" si="12"/>
        <v/>
      </c>
    </row>
    <row r="166" spans="1:14" x14ac:dyDescent="0.35">
      <c r="A166" t="s">
        <v>343</v>
      </c>
      <c r="B166" t="s">
        <v>79</v>
      </c>
      <c r="C166" t="s">
        <v>23</v>
      </c>
      <c r="D166">
        <v>68</v>
      </c>
      <c r="E166">
        <v>242739.76</v>
      </c>
      <c r="F166">
        <v>16506303.68</v>
      </c>
      <c r="G166" s="1">
        <v>45478</v>
      </c>
      <c r="H166" t="s">
        <v>344</v>
      </c>
      <c r="I166" t="str">
        <f t="shared" si="13"/>
        <v>OK</v>
      </c>
      <c r="J166" t="str">
        <f t="shared" si="14"/>
        <v>OK</v>
      </c>
      <c r="K166" t="str">
        <f t="shared" si="15"/>
        <v>Unique</v>
      </c>
      <c r="L166" t="str">
        <f t="shared" si="16"/>
        <v>OK</v>
      </c>
      <c r="M166" t="str">
        <f t="shared" si="17"/>
        <v>CLEAN</v>
      </c>
      <c r="N166" t="str">
        <f t="shared" si="12"/>
        <v/>
      </c>
    </row>
    <row r="167" spans="1:14" x14ac:dyDescent="0.35">
      <c r="A167" t="s">
        <v>345</v>
      </c>
      <c r="B167" t="s">
        <v>37</v>
      </c>
      <c r="C167" t="s">
        <v>27</v>
      </c>
      <c r="D167">
        <v>1</v>
      </c>
      <c r="E167">
        <v>99539.89</v>
      </c>
      <c r="F167">
        <v>99539.89</v>
      </c>
      <c r="G167" s="1">
        <v>45276</v>
      </c>
      <c r="H167" t="s">
        <v>346</v>
      </c>
      <c r="I167" t="str">
        <f t="shared" si="13"/>
        <v>OK</v>
      </c>
      <c r="J167" t="str">
        <f t="shared" si="14"/>
        <v>OK</v>
      </c>
      <c r="K167" t="str">
        <f t="shared" si="15"/>
        <v>Unique</v>
      </c>
      <c r="L167" t="str">
        <f t="shared" si="16"/>
        <v>OK</v>
      </c>
      <c r="M167" t="str">
        <f t="shared" si="17"/>
        <v>CLEAN</v>
      </c>
      <c r="N167" t="str">
        <f t="shared" si="12"/>
        <v/>
      </c>
    </row>
    <row r="168" spans="1:14" x14ac:dyDescent="0.35">
      <c r="A168" t="s">
        <v>347</v>
      </c>
      <c r="B168" t="s">
        <v>37</v>
      </c>
      <c r="C168" t="s">
        <v>70</v>
      </c>
      <c r="D168">
        <v>1</v>
      </c>
      <c r="E168">
        <v>219470.21</v>
      </c>
      <c r="F168">
        <v>219470.21</v>
      </c>
      <c r="G168" s="1">
        <v>45382</v>
      </c>
      <c r="H168" t="s">
        <v>348</v>
      </c>
      <c r="I168" t="str">
        <f t="shared" si="13"/>
        <v>OK</v>
      </c>
      <c r="J168" t="str">
        <f t="shared" si="14"/>
        <v>OK</v>
      </c>
      <c r="K168" t="str">
        <f t="shared" si="15"/>
        <v>Unique</v>
      </c>
      <c r="L168" t="str">
        <f t="shared" si="16"/>
        <v>OK</v>
      </c>
      <c r="M168" t="str">
        <f t="shared" si="17"/>
        <v>CLEAN</v>
      </c>
      <c r="N168" t="str">
        <f t="shared" si="12"/>
        <v/>
      </c>
    </row>
    <row r="169" spans="1:14" x14ac:dyDescent="0.35">
      <c r="A169" t="s">
        <v>349</v>
      </c>
      <c r="B169" t="s">
        <v>213</v>
      </c>
      <c r="C169" t="s">
        <v>27</v>
      </c>
      <c r="D169">
        <v>1</v>
      </c>
      <c r="E169">
        <v>194661.46</v>
      </c>
      <c r="F169">
        <v>194661.46</v>
      </c>
      <c r="G169" s="1">
        <v>45589</v>
      </c>
      <c r="H169" t="s">
        <v>350</v>
      </c>
      <c r="I169" t="str">
        <f t="shared" si="13"/>
        <v>OK</v>
      </c>
      <c r="J169" t="str">
        <f t="shared" si="14"/>
        <v>OK</v>
      </c>
      <c r="K169" t="str">
        <f t="shared" si="15"/>
        <v>Unique</v>
      </c>
      <c r="L169" t="str">
        <f t="shared" si="16"/>
        <v>OK</v>
      </c>
      <c r="M169" t="str">
        <f t="shared" si="17"/>
        <v>CLEAN</v>
      </c>
      <c r="N169" t="str">
        <f t="shared" si="12"/>
        <v/>
      </c>
    </row>
    <row r="170" spans="1:14" x14ac:dyDescent="0.35">
      <c r="A170" t="s">
        <v>351</v>
      </c>
      <c r="B170" t="s">
        <v>37</v>
      </c>
      <c r="C170" t="s">
        <v>23</v>
      </c>
      <c r="D170">
        <v>100</v>
      </c>
      <c r="E170">
        <v>215720.15</v>
      </c>
      <c r="F170">
        <v>21572015</v>
      </c>
      <c r="G170" s="1">
        <v>45229</v>
      </c>
      <c r="H170" t="s">
        <v>1111</v>
      </c>
      <c r="I170" t="str">
        <f t="shared" si="13"/>
        <v>OK</v>
      </c>
      <c r="J170" t="str">
        <f t="shared" si="14"/>
        <v>OK</v>
      </c>
      <c r="K170" t="str">
        <f t="shared" si="15"/>
        <v>Unique</v>
      </c>
      <c r="L170" t="str">
        <f t="shared" si="16"/>
        <v>OK</v>
      </c>
      <c r="M170" t="str">
        <f t="shared" si="17"/>
        <v>CLEAN</v>
      </c>
      <c r="N170" t="str">
        <f t="shared" si="12"/>
        <v/>
      </c>
    </row>
    <row r="171" spans="1:14" x14ac:dyDescent="0.35">
      <c r="A171" t="s">
        <v>1047</v>
      </c>
      <c r="B171" t="s">
        <v>34</v>
      </c>
      <c r="C171" t="s">
        <v>55</v>
      </c>
      <c r="D171">
        <v>1</v>
      </c>
      <c r="E171">
        <v>4718.22</v>
      </c>
      <c r="F171">
        <v>4718.22</v>
      </c>
      <c r="G171" s="1">
        <v>45360</v>
      </c>
      <c r="H171" t="s">
        <v>352</v>
      </c>
      <c r="I171" t="str">
        <f t="shared" si="13"/>
        <v>OK</v>
      </c>
      <c r="J171" t="str">
        <f t="shared" si="14"/>
        <v>OK</v>
      </c>
      <c r="K171" t="str">
        <f t="shared" si="15"/>
        <v>Unique</v>
      </c>
      <c r="L171" t="str">
        <f t="shared" si="16"/>
        <v>OK</v>
      </c>
      <c r="M171" t="str">
        <f t="shared" si="17"/>
        <v>CLEAN</v>
      </c>
      <c r="N171" t="str">
        <f t="shared" si="12"/>
        <v/>
      </c>
    </row>
    <row r="172" spans="1:14" x14ac:dyDescent="0.35">
      <c r="A172" t="s">
        <v>353</v>
      </c>
      <c r="B172" t="s">
        <v>26</v>
      </c>
      <c r="C172" t="s">
        <v>17</v>
      </c>
      <c r="D172">
        <v>82</v>
      </c>
      <c r="E172">
        <v>0</v>
      </c>
      <c r="F172">
        <v>0</v>
      </c>
      <c r="G172" s="1">
        <v>45787</v>
      </c>
      <c r="H172" t="s">
        <v>354</v>
      </c>
      <c r="I172" t="str">
        <f t="shared" si="13"/>
        <v>Check Price</v>
      </c>
      <c r="J172" t="str">
        <f t="shared" si="14"/>
        <v>Zero Sale</v>
      </c>
      <c r="K172" t="str">
        <f t="shared" si="15"/>
        <v>Unique</v>
      </c>
      <c r="L172" t="str">
        <f t="shared" si="16"/>
        <v>OK</v>
      </c>
      <c r="M172" t="str">
        <f t="shared" si="17"/>
        <v>EXCEPTION</v>
      </c>
      <c r="N172" t="str">
        <f t="shared" si="12"/>
        <v>Price Issue, Zero Sale</v>
      </c>
    </row>
    <row r="173" spans="1:14" x14ac:dyDescent="0.35">
      <c r="A173" t="s">
        <v>355</v>
      </c>
      <c r="B173" t="s">
        <v>26</v>
      </c>
      <c r="C173" t="s">
        <v>55</v>
      </c>
      <c r="D173">
        <v>1</v>
      </c>
      <c r="E173">
        <v>101465.1</v>
      </c>
      <c r="F173">
        <v>101465.1</v>
      </c>
      <c r="G173" s="1">
        <v>45675</v>
      </c>
      <c r="H173" t="s">
        <v>356</v>
      </c>
      <c r="I173" t="str">
        <f t="shared" si="13"/>
        <v>OK</v>
      </c>
      <c r="J173" t="str">
        <f t="shared" si="14"/>
        <v>OK</v>
      </c>
      <c r="K173" t="str">
        <f t="shared" si="15"/>
        <v>Unique</v>
      </c>
      <c r="L173" t="str">
        <f t="shared" si="16"/>
        <v>OK</v>
      </c>
      <c r="M173" t="str">
        <f t="shared" si="17"/>
        <v>CLEAN</v>
      </c>
      <c r="N173" t="str">
        <f t="shared" si="12"/>
        <v/>
      </c>
    </row>
    <row r="174" spans="1:14" x14ac:dyDescent="0.35">
      <c r="A174" t="s">
        <v>357</v>
      </c>
      <c r="B174" t="s">
        <v>213</v>
      </c>
      <c r="C174" t="s">
        <v>70</v>
      </c>
      <c r="D174">
        <v>1</v>
      </c>
      <c r="E174">
        <v>88859.77</v>
      </c>
      <c r="F174">
        <v>88859.77</v>
      </c>
      <c r="G174" s="1">
        <v>45366</v>
      </c>
      <c r="H174" t="s">
        <v>358</v>
      </c>
      <c r="I174" t="str">
        <f t="shared" si="13"/>
        <v>OK</v>
      </c>
      <c r="J174" t="str">
        <f t="shared" si="14"/>
        <v>OK</v>
      </c>
      <c r="K174" t="str">
        <f t="shared" si="15"/>
        <v>Unique</v>
      </c>
      <c r="L174" t="str">
        <f t="shared" si="16"/>
        <v>OK</v>
      </c>
      <c r="M174" t="str">
        <f t="shared" si="17"/>
        <v>CLEAN</v>
      </c>
      <c r="N174" t="str">
        <f t="shared" si="12"/>
        <v/>
      </c>
    </row>
    <row r="175" spans="1:14" x14ac:dyDescent="0.35">
      <c r="A175" t="s">
        <v>359</v>
      </c>
      <c r="B175" t="s">
        <v>34</v>
      </c>
      <c r="C175" t="s">
        <v>55</v>
      </c>
      <c r="D175">
        <v>1</v>
      </c>
      <c r="E175">
        <v>202483.14</v>
      </c>
      <c r="F175">
        <v>202483.14</v>
      </c>
      <c r="G175" s="1">
        <v>45688</v>
      </c>
      <c r="H175" t="s">
        <v>360</v>
      </c>
      <c r="I175" t="str">
        <f t="shared" si="13"/>
        <v>OK</v>
      </c>
      <c r="J175" t="str">
        <f t="shared" si="14"/>
        <v>OK</v>
      </c>
      <c r="K175" t="str">
        <f t="shared" si="15"/>
        <v>Unique</v>
      </c>
      <c r="L175" t="str">
        <f t="shared" si="16"/>
        <v>OK</v>
      </c>
      <c r="M175" t="str">
        <f t="shared" si="17"/>
        <v>CLEAN</v>
      </c>
      <c r="N175" t="str">
        <f t="shared" si="12"/>
        <v/>
      </c>
    </row>
    <row r="176" spans="1:14" x14ac:dyDescent="0.35">
      <c r="A176" t="s">
        <v>361</v>
      </c>
      <c r="B176" t="s">
        <v>85</v>
      </c>
      <c r="C176" t="s">
        <v>55</v>
      </c>
      <c r="D176">
        <v>83</v>
      </c>
      <c r="E176">
        <v>58351.81</v>
      </c>
      <c r="F176">
        <v>4843200.2299999995</v>
      </c>
      <c r="G176" s="1">
        <v>45786</v>
      </c>
      <c r="H176" t="s">
        <v>362</v>
      </c>
      <c r="I176" t="str">
        <f t="shared" si="13"/>
        <v>OK</v>
      </c>
      <c r="J176" t="str">
        <f t="shared" si="14"/>
        <v>OK</v>
      </c>
      <c r="K176" t="str">
        <f t="shared" si="15"/>
        <v>Unique</v>
      </c>
      <c r="L176" t="str">
        <f t="shared" si="16"/>
        <v>OK</v>
      </c>
      <c r="M176" t="str">
        <f t="shared" si="17"/>
        <v>CLEAN</v>
      </c>
      <c r="N176" t="str">
        <f t="shared" si="12"/>
        <v/>
      </c>
    </row>
    <row r="177" spans="1:14" x14ac:dyDescent="0.35">
      <c r="A177" t="s">
        <v>363</v>
      </c>
      <c r="B177" t="s">
        <v>16</v>
      </c>
      <c r="C177" t="s">
        <v>17</v>
      </c>
      <c r="D177">
        <v>31</v>
      </c>
      <c r="E177">
        <v>183480.87</v>
      </c>
      <c r="F177">
        <v>5687906.9699999997</v>
      </c>
      <c r="G177" s="1">
        <v>45386</v>
      </c>
      <c r="H177" t="s">
        <v>364</v>
      </c>
      <c r="I177" t="str">
        <f t="shared" si="13"/>
        <v>OK</v>
      </c>
      <c r="J177" t="str">
        <f t="shared" si="14"/>
        <v>OK</v>
      </c>
      <c r="K177" t="str">
        <f t="shared" si="15"/>
        <v>Unique</v>
      </c>
      <c r="L177" t="str">
        <f t="shared" si="16"/>
        <v>OK</v>
      </c>
      <c r="M177" t="str">
        <f t="shared" si="17"/>
        <v>CLEAN</v>
      </c>
      <c r="N177" t="str">
        <f t="shared" si="12"/>
        <v/>
      </c>
    </row>
    <row r="178" spans="1:14" x14ac:dyDescent="0.35">
      <c r="A178" t="s">
        <v>365</v>
      </c>
      <c r="B178" t="s">
        <v>58</v>
      </c>
      <c r="C178" t="s">
        <v>23</v>
      </c>
      <c r="D178">
        <v>1</v>
      </c>
      <c r="E178">
        <v>191798.38</v>
      </c>
      <c r="F178">
        <v>191798.38</v>
      </c>
      <c r="G178" s="1">
        <v>45427</v>
      </c>
      <c r="H178" t="s">
        <v>366</v>
      </c>
      <c r="I178" t="str">
        <f t="shared" si="13"/>
        <v>OK</v>
      </c>
      <c r="J178" t="str">
        <f t="shared" si="14"/>
        <v>OK</v>
      </c>
      <c r="K178" t="str">
        <f t="shared" si="15"/>
        <v>Unique</v>
      </c>
      <c r="L178" t="str">
        <f t="shared" si="16"/>
        <v>OK</v>
      </c>
      <c r="M178" t="str">
        <f t="shared" si="17"/>
        <v>CLEAN</v>
      </c>
      <c r="N178" t="str">
        <f t="shared" si="12"/>
        <v/>
      </c>
    </row>
    <row r="179" spans="1:14" x14ac:dyDescent="0.35">
      <c r="A179" t="s">
        <v>367</v>
      </c>
      <c r="B179" t="s">
        <v>61</v>
      </c>
      <c r="C179" t="s">
        <v>23</v>
      </c>
      <c r="D179">
        <v>26</v>
      </c>
      <c r="E179">
        <v>121944.37</v>
      </c>
      <c r="F179">
        <v>3170553.62</v>
      </c>
      <c r="G179" s="1">
        <v>45219</v>
      </c>
      <c r="H179" t="s">
        <v>368</v>
      </c>
      <c r="I179" t="str">
        <f t="shared" si="13"/>
        <v>OK</v>
      </c>
      <c r="J179" t="str">
        <f t="shared" si="14"/>
        <v>OK</v>
      </c>
      <c r="K179" t="str">
        <f t="shared" si="15"/>
        <v>Unique</v>
      </c>
      <c r="L179" t="str">
        <f t="shared" si="16"/>
        <v>OK</v>
      </c>
      <c r="M179" t="str">
        <f t="shared" si="17"/>
        <v>CLEAN</v>
      </c>
      <c r="N179" t="str">
        <f t="shared" si="12"/>
        <v/>
      </c>
    </row>
    <row r="180" spans="1:14" x14ac:dyDescent="0.35">
      <c r="A180" t="s">
        <v>369</v>
      </c>
      <c r="B180" t="s">
        <v>42</v>
      </c>
      <c r="C180" t="s">
        <v>23</v>
      </c>
      <c r="D180">
        <v>78</v>
      </c>
      <c r="E180">
        <v>128597.12</v>
      </c>
      <c r="F180">
        <v>10030575.359999999</v>
      </c>
      <c r="G180" s="1">
        <v>45708</v>
      </c>
      <c r="H180" t="s">
        <v>370</v>
      </c>
      <c r="I180" t="str">
        <f t="shared" si="13"/>
        <v>OK</v>
      </c>
      <c r="J180" t="str">
        <f t="shared" si="14"/>
        <v>OK</v>
      </c>
      <c r="K180" t="str">
        <f t="shared" si="15"/>
        <v>Unique</v>
      </c>
      <c r="L180" t="str">
        <f t="shared" si="16"/>
        <v>OK</v>
      </c>
      <c r="M180" t="str">
        <f t="shared" si="17"/>
        <v>CLEAN</v>
      </c>
      <c r="N180" t="str">
        <f t="shared" si="12"/>
        <v/>
      </c>
    </row>
    <row r="181" spans="1:14" x14ac:dyDescent="0.35">
      <c r="A181" t="s">
        <v>371</v>
      </c>
      <c r="B181" t="s">
        <v>53</v>
      </c>
      <c r="C181" t="s">
        <v>27</v>
      </c>
      <c r="D181">
        <v>1</v>
      </c>
      <c r="E181">
        <v>98714.03</v>
      </c>
      <c r="F181">
        <v>98714.03</v>
      </c>
      <c r="G181" s="1">
        <v>45405</v>
      </c>
      <c r="H181" t="s">
        <v>372</v>
      </c>
      <c r="I181" t="str">
        <f t="shared" si="13"/>
        <v>OK</v>
      </c>
      <c r="J181" t="str">
        <f t="shared" si="14"/>
        <v>OK</v>
      </c>
      <c r="K181" t="str">
        <f t="shared" si="15"/>
        <v>Unique</v>
      </c>
      <c r="L181" t="str">
        <f t="shared" si="16"/>
        <v>OK</v>
      </c>
      <c r="M181" t="str">
        <f t="shared" si="17"/>
        <v>CLEAN</v>
      </c>
      <c r="N181" t="str">
        <f t="shared" si="12"/>
        <v/>
      </c>
    </row>
    <row r="182" spans="1:14" x14ac:dyDescent="0.35">
      <c r="A182" t="s">
        <v>373</v>
      </c>
      <c r="B182" t="s">
        <v>34</v>
      </c>
      <c r="C182" t="s">
        <v>46</v>
      </c>
      <c r="D182">
        <v>10</v>
      </c>
      <c r="E182">
        <v>0</v>
      </c>
      <c r="F182">
        <v>0</v>
      </c>
      <c r="G182" s="1">
        <v>45517</v>
      </c>
      <c r="H182" t="s">
        <v>374</v>
      </c>
      <c r="I182" t="str">
        <f t="shared" si="13"/>
        <v>Check Price</v>
      </c>
      <c r="J182" t="str">
        <f t="shared" si="14"/>
        <v>Zero Sale</v>
      </c>
      <c r="K182" t="str">
        <f t="shared" si="15"/>
        <v>Unique</v>
      </c>
      <c r="L182" t="str">
        <f t="shared" si="16"/>
        <v>OK</v>
      </c>
      <c r="M182" t="str">
        <f t="shared" si="17"/>
        <v>EXCEPTION</v>
      </c>
      <c r="N182" t="str">
        <f t="shared" si="12"/>
        <v>Price Issue, Zero Sale</v>
      </c>
    </row>
    <row r="183" spans="1:14" x14ac:dyDescent="0.35">
      <c r="A183" t="s">
        <v>375</v>
      </c>
      <c r="B183" t="s">
        <v>53</v>
      </c>
      <c r="C183" t="s">
        <v>27</v>
      </c>
      <c r="D183">
        <v>1</v>
      </c>
      <c r="E183">
        <v>120549.56</v>
      </c>
      <c r="F183">
        <v>120549.56</v>
      </c>
      <c r="G183" s="1">
        <v>45554</v>
      </c>
      <c r="H183" t="s">
        <v>376</v>
      </c>
      <c r="I183" t="str">
        <f t="shared" si="13"/>
        <v>OK</v>
      </c>
      <c r="J183" t="str">
        <f t="shared" si="14"/>
        <v>OK</v>
      </c>
      <c r="K183" t="str">
        <f t="shared" si="15"/>
        <v>Unique</v>
      </c>
      <c r="L183" t="str">
        <f t="shared" si="16"/>
        <v>OK</v>
      </c>
      <c r="M183" t="str">
        <f t="shared" si="17"/>
        <v>CLEAN</v>
      </c>
      <c r="N183" t="str">
        <f t="shared" si="12"/>
        <v/>
      </c>
    </row>
    <row r="184" spans="1:14" x14ac:dyDescent="0.35">
      <c r="A184" t="s">
        <v>1047</v>
      </c>
      <c r="B184" t="s">
        <v>131</v>
      </c>
      <c r="C184" t="s">
        <v>55</v>
      </c>
      <c r="D184">
        <v>1</v>
      </c>
      <c r="E184">
        <v>29067.84</v>
      </c>
      <c r="F184">
        <v>29067.84</v>
      </c>
      <c r="G184" s="1">
        <v>45200</v>
      </c>
      <c r="H184" t="s">
        <v>1112</v>
      </c>
      <c r="I184" t="str">
        <f t="shared" si="13"/>
        <v>OK</v>
      </c>
      <c r="J184" t="str">
        <f t="shared" si="14"/>
        <v>OK</v>
      </c>
      <c r="K184" t="str">
        <f t="shared" si="15"/>
        <v>Unique</v>
      </c>
      <c r="L184" t="str">
        <f t="shared" si="16"/>
        <v>OK</v>
      </c>
      <c r="M184" t="str">
        <f t="shared" si="17"/>
        <v>CLEAN</v>
      </c>
      <c r="N184" t="str">
        <f t="shared" si="12"/>
        <v/>
      </c>
    </row>
    <row r="185" spans="1:14" x14ac:dyDescent="0.35">
      <c r="A185" t="s">
        <v>377</v>
      </c>
      <c r="B185" t="s">
        <v>105</v>
      </c>
      <c r="C185" t="s">
        <v>46</v>
      </c>
      <c r="D185">
        <v>1</v>
      </c>
      <c r="E185">
        <v>294514.71999999997</v>
      </c>
      <c r="F185">
        <v>294514.71999999997</v>
      </c>
      <c r="G185" s="1">
        <v>45365</v>
      </c>
      <c r="H185" t="s">
        <v>378</v>
      </c>
      <c r="I185" t="str">
        <f t="shared" si="13"/>
        <v>OK</v>
      </c>
      <c r="J185" t="str">
        <f t="shared" si="14"/>
        <v>OK</v>
      </c>
      <c r="K185" t="str">
        <f t="shared" si="15"/>
        <v>Unique</v>
      </c>
      <c r="L185" t="str">
        <f t="shared" si="16"/>
        <v>OK</v>
      </c>
      <c r="M185" t="str">
        <f t="shared" si="17"/>
        <v>CLEAN</v>
      </c>
      <c r="N185" t="str">
        <f t="shared" si="12"/>
        <v/>
      </c>
    </row>
    <row r="186" spans="1:14" x14ac:dyDescent="0.35">
      <c r="A186" t="s">
        <v>379</v>
      </c>
      <c r="B186" t="s">
        <v>109</v>
      </c>
      <c r="C186" t="s">
        <v>12</v>
      </c>
      <c r="D186">
        <v>1</v>
      </c>
      <c r="E186">
        <v>143497.5</v>
      </c>
      <c r="F186">
        <v>143497.5</v>
      </c>
      <c r="G186" s="1">
        <v>45305</v>
      </c>
      <c r="H186" t="s">
        <v>380</v>
      </c>
      <c r="I186" t="str">
        <f t="shared" si="13"/>
        <v>OK</v>
      </c>
      <c r="J186" t="str">
        <f t="shared" si="14"/>
        <v>OK</v>
      </c>
      <c r="K186" t="str">
        <f t="shared" si="15"/>
        <v>Unique</v>
      </c>
      <c r="L186" t="str">
        <f t="shared" si="16"/>
        <v>OK</v>
      </c>
      <c r="M186" t="str">
        <f t="shared" si="17"/>
        <v>CLEAN</v>
      </c>
      <c r="N186" t="str">
        <f t="shared" si="12"/>
        <v/>
      </c>
    </row>
    <row r="187" spans="1:14" x14ac:dyDescent="0.35">
      <c r="A187" t="s">
        <v>381</v>
      </c>
      <c r="B187" t="s">
        <v>76</v>
      </c>
      <c r="C187" t="s">
        <v>27</v>
      </c>
      <c r="D187">
        <v>1</v>
      </c>
      <c r="E187">
        <v>280779.7</v>
      </c>
      <c r="F187">
        <v>280779.7</v>
      </c>
      <c r="G187" s="1">
        <v>45480</v>
      </c>
      <c r="H187" t="s">
        <v>382</v>
      </c>
      <c r="I187" t="str">
        <f t="shared" si="13"/>
        <v>OK</v>
      </c>
      <c r="J187" t="str">
        <f t="shared" si="14"/>
        <v>OK</v>
      </c>
      <c r="K187" t="str">
        <f t="shared" si="15"/>
        <v>Unique</v>
      </c>
      <c r="L187" t="str">
        <f t="shared" si="16"/>
        <v>OK</v>
      </c>
      <c r="M187" t="str">
        <f t="shared" si="17"/>
        <v>CLEAN</v>
      </c>
      <c r="N187" t="str">
        <f t="shared" si="12"/>
        <v/>
      </c>
    </row>
    <row r="188" spans="1:14" x14ac:dyDescent="0.35">
      <c r="A188" t="s">
        <v>383</v>
      </c>
      <c r="B188" t="s">
        <v>58</v>
      </c>
      <c r="C188" t="s">
        <v>27</v>
      </c>
      <c r="D188">
        <v>1</v>
      </c>
      <c r="E188">
        <v>2545.62</v>
      </c>
      <c r="F188">
        <v>2545.62</v>
      </c>
      <c r="G188" s="1">
        <v>45213</v>
      </c>
      <c r="H188" t="s">
        <v>384</v>
      </c>
      <c r="I188" t="str">
        <f t="shared" si="13"/>
        <v>OK</v>
      </c>
      <c r="J188" t="str">
        <f t="shared" si="14"/>
        <v>OK</v>
      </c>
      <c r="K188" t="str">
        <f t="shared" si="15"/>
        <v>Unique</v>
      </c>
      <c r="L188" t="str">
        <f t="shared" si="16"/>
        <v>OK</v>
      </c>
      <c r="M188" t="str">
        <f t="shared" si="17"/>
        <v>CLEAN</v>
      </c>
      <c r="N188" t="str">
        <f t="shared" si="12"/>
        <v/>
      </c>
    </row>
    <row r="189" spans="1:14" x14ac:dyDescent="0.35">
      <c r="A189" t="s">
        <v>385</v>
      </c>
      <c r="B189" t="s">
        <v>76</v>
      </c>
      <c r="C189" t="s">
        <v>17</v>
      </c>
      <c r="D189">
        <v>1</v>
      </c>
      <c r="E189">
        <v>115380.53</v>
      </c>
      <c r="F189">
        <v>115380.53</v>
      </c>
      <c r="G189" s="1">
        <v>45325</v>
      </c>
      <c r="H189" t="s">
        <v>386</v>
      </c>
      <c r="I189" t="str">
        <f t="shared" si="13"/>
        <v>OK</v>
      </c>
      <c r="J189" t="str">
        <f t="shared" si="14"/>
        <v>OK</v>
      </c>
      <c r="K189" t="str">
        <f t="shared" si="15"/>
        <v>Unique</v>
      </c>
      <c r="L189" t="str">
        <f t="shared" si="16"/>
        <v>OK</v>
      </c>
      <c r="M189" t="str">
        <f t="shared" si="17"/>
        <v>CLEAN</v>
      </c>
      <c r="N189" t="str">
        <f t="shared" si="12"/>
        <v/>
      </c>
    </row>
    <row r="190" spans="1:14" x14ac:dyDescent="0.35">
      <c r="A190" t="s">
        <v>387</v>
      </c>
      <c r="B190" t="s">
        <v>31</v>
      </c>
      <c r="C190" t="s">
        <v>23</v>
      </c>
      <c r="D190">
        <v>1</v>
      </c>
      <c r="E190">
        <v>134297.29</v>
      </c>
      <c r="F190">
        <v>134297.29</v>
      </c>
      <c r="G190" s="1">
        <v>45467</v>
      </c>
      <c r="H190" t="s">
        <v>388</v>
      </c>
      <c r="I190" t="str">
        <f t="shared" si="13"/>
        <v>OK</v>
      </c>
      <c r="J190" t="str">
        <f t="shared" si="14"/>
        <v>OK</v>
      </c>
      <c r="K190" t="str">
        <f t="shared" si="15"/>
        <v>Unique</v>
      </c>
      <c r="L190" t="str">
        <f t="shared" si="16"/>
        <v>OK</v>
      </c>
      <c r="M190" t="str">
        <f t="shared" si="17"/>
        <v>CLEAN</v>
      </c>
      <c r="N190" t="str">
        <f t="shared" si="12"/>
        <v/>
      </c>
    </row>
    <row r="191" spans="1:14" x14ac:dyDescent="0.35">
      <c r="A191" t="s">
        <v>389</v>
      </c>
      <c r="B191" t="s">
        <v>20</v>
      </c>
      <c r="C191" t="s">
        <v>23</v>
      </c>
      <c r="D191">
        <v>41</v>
      </c>
      <c r="E191">
        <v>80464.800000000003</v>
      </c>
      <c r="F191">
        <v>3299056.8000000003</v>
      </c>
      <c r="G191" s="1">
        <v>45310</v>
      </c>
      <c r="H191" t="s">
        <v>390</v>
      </c>
      <c r="I191" t="str">
        <f t="shared" si="13"/>
        <v>OK</v>
      </c>
      <c r="J191" t="str">
        <f t="shared" si="14"/>
        <v>OK</v>
      </c>
      <c r="K191" t="str">
        <f t="shared" si="15"/>
        <v>Unique</v>
      </c>
      <c r="L191" t="str">
        <f t="shared" si="16"/>
        <v>OK</v>
      </c>
      <c r="M191" t="str">
        <f t="shared" si="17"/>
        <v>CLEAN</v>
      </c>
      <c r="N191" t="str">
        <f t="shared" si="12"/>
        <v/>
      </c>
    </row>
    <row r="192" spans="1:14" x14ac:dyDescent="0.35">
      <c r="A192" t="s">
        <v>391</v>
      </c>
      <c r="B192" t="s">
        <v>20</v>
      </c>
      <c r="C192" t="s">
        <v>46</v>
      </c>
      <c r="D192">
        <v>57</v>
      </c>
      <c r="E192">
        <v>0</v>
      </c>
      <c r="F192">
        <v>0</v>
      </c>
      <c r="G192" s="1">
        <v>45227</v>
      </c>
      <c r="H192" t="s">
        <v>392</v>
      </c>
      <c r="I192" t="str">
        <f t="shared" si="13"/>
        <v>Check Price</v>
      </c>
      <c r="J192" t="str">
        <f t="shared" si="14"/>
        <v>Zero Sale</v>
      </c>
      <c r="K192" t="str">
        <f t="shared" si="15"/>
        <v>Unique</v>
      </c>
      <c r="L192" t="str">
        <f t="shared" si="16"/>
        <v>OK</v>
      </c>
      <c r="M192" t="str">
        <f t="shared" si="17"/>
        <v>EXCEPTION</v>
      </c>
      <c r="N192" t="str">
        <f t="shared" si="12"/>
        <v>Price Issue, Zero Sale</v>
      </c>
    </row>
    <row r="193" spans="1:14" x14ac:dyDescent="0.35">
      <c r="A193" t="s">
        <v>393</v>
      </c>
      <c r="B193" t="s">
        <v>37</v>
      </c>
      <c r="C193" t="s">
        <v>27</v>
      </c>
      <c r="D193">
        <v>1</v>
      </c>
      <c r="E193">
        <v>99222.78</v>
      </c>
      <c r="F193">
        <v>99222.78</v>
      </c>
      <c r="G193" s="1">
        <v>45193</v>
      </c>
      <c r="H193" t="s">
        <v>394</v>
      </c>
      <c r="I193" t="str">
        <f t="shared" si="13"/>
        <v>OK</v>
      </c>
      <c r="J193" t="str">
        <f t="shared" si="14"/>
        <v>OK</v>
      </c>
      <c r="K193" t="str">
        <f t="shared" si="15"/>
        <v>Unique</v>
      </c>
      <c r="L193" t="str">
        <f t="shared" si="16"/>
        <v>OK</v>
      </c>
      <c r="M193" t="str">
        <f t="shared" si="17"/>
        <v>CLEAN</v>
      </c>
      <c r="N193" t="str">
        <f t="shared" si="12"/>
        <v/>
      </c>
    </row>
    <row r="194" spans="1:14" x14ac:dyDescent="0.35">
      <c r="A194" t="s">
        <v>395</v>
      </c>
      <c r="B194" t="s">
        <v>89</v>
      </c>
      <c r="C194" t="s">
        <v>23</v>
      </c>
      <c r="D194">
        <v>1</v>
      </c>
      <c r="E194">
        <v>174947</v>
      </c>
      <c r="F194">
        <v>174947</v>
      </c>
      <c r="G194" s="1">
        <v>45157</v>
      </c>
      <c r="H194" t="s">
        <v>396</v>
      </c>
      <c r="I194" t="str">
        <f t="shared" si="13"/>
        <v>OK</v>
      </c>
      <c r="J194" t="str">
        <f t="shared" si="14"/>
        <v>OK</v>
      </c>
      <c r="K194" t="str">
        <f t="shared" si="15"/>
        <v>Unique</v>
      </c>
      <c r="L194" t="str">
        <f t="shared" si="16"/>
        <v>OK</v>
      </c>
      <c r="M194" t="str">
        <f t="shared" si="17"/>
        <v>CLEAN</v>
      </c>
      <c r="N194" t="str">
        <f t="shared" ref="N194:N257" si="18">_xlfn.TEXTJOIN(", ",TRUE,
IF(I194&lt;&gt;"OK","Price Issue",""),
IF(J194&lt;&gt;"OK","Zero Sale",""),
IF(K194&lt;&gt;"Unique","Duplicate Order",""),
IF(L194&lt;&gt;"OK","Missing Date","")
)</f>
        <v/>
      </c>
    </row>
    <row r="195" spans="1:14" x14ac:dyDescent="0.35">
      <c r="A195" t="s">
        <v>397</v>
      </c>
      <c r="B195" t="s">
        <v>11</v>
      </c>
      <c r="C195" t="s">
        <v>27</v>
      </c>
      <c r="D195">
        <v>1</v>
      </c>
      <c r="E195">
        <v>172076.77</v>
      </c>
      <c r="F195">
        <v>172076.77</v>
      </c>
      <c r="G195" s="1">
        <v>45343</v>
      </c>
      <c r="H195" t="s">
        <v>398</v>
      </c>
      <c r="I195" t="str">
        <f t="shared" ref="I195:I258" si="19">IF(E195=0,"Check Price","OK")</f>
        <v>OK</v>
      </c>
      <c r="J195" t="str">
        <f t="shared" ref="J195:J258" si="20">IF(F195=0,"Zero Sale","OK")</f>
        <v>OK</v>
      </c>
      <c r="K195" t="str">
        <f t="shared" ref="K195:K258" si="21">IF(COUNTIF($H:$H,H195)&gt;1,"Duplicate","Unique")</f>
        <v>Unique</v>
      </c>
      <c r="L195" t="str">
        <f t="shared" ref="L195:L258" si="22">IF(G195="","Missing Date","OK")</f>
        <v>OK</v>
      </c>
      <c r="M195" t="str">
        <f t="shared" ref="M195:M258" si="23">IF(COUNTIF(I195:J195,"&lt;&gt;OK")&gt;0,"EXCEPTION","CLEAN")</f>
        <v>CLEAN</v>
      </c>
      <c r="N195" t="str">
        <f t="shared" si="18"/>
        <v/>
      </c>
    </row>
    <row r="196" spans="1:14" x14ac:dyDescent="0.35">
      <c r="A196" t="s">
        <v>399</v>
      </c>
      <c r="B196" t="s">
        <v>79</v>
      </c>
      <c r="C196" t="s">
        <v>55</v>
      </c>
      <c r="D196">
        <v>1</v>
      </c>
      <c r="E196">
        <v>78835.17</v>
      </c>
      <c r="F196">
        <v>78835.17</v>
      </c>
      <c r="G196" s="1">
        <v>45416</v>
      </c>
      <c r="H196" t="s">
        <v>400</v>
      </c>
      <c r="I196" t="str">
        <f t="shared" si="19"/>
        <v>OK</v>
      </c>
      <c r="J196" t="str">
        <f t="shared" si="20"/>
        <v>OK</v>
      </c>
      <c r="K196" t="str">
        <f t="shared" si="21"/>
        <v>Unique</v>
      </c>
      <c r="L196" t="str">
        <f t="shared" si="22"/>
        <v>OK</v>
      </c>
      <c r="M196" t="str">
        <f t="shared" si="23"/>
        <v>CLEAN</v>
      </c>
      <c r="N196" t="str">
        <f t="shared" si="18"/>
        <v/>
      </c>
    </row>
    <row r="197" spans="1:14" x14ac:dyDescent="0.35">
      <c r="A197" t="s">
        <v>1047</v>
      </c>
      <c r="B197" t="s">
        <v>34</v>
      </c>
      <c r="C197" t="s">
        <v>12</v>
      </c>
      <c r="D197">
        <v>65</v>
      </c>
      <c r="E197">
        <v>108185.85</v>
      </c>
      <c r="F197">
        <v>7032080.25</v>
      </c>
      <c r="G197" s="1">
        <v>45789</v>
      </c>
      <c r="H197" t="s">
        <v>401</v>
      </c>
      <c r="I197" t="str">
        <f t="shared" si="19"/>
        <v>OK</v>
      </c>
      <c r="J197" t="str">
        <f t="shared" si="20"/>
        <v>OK</v>
      </c>
      <c r="K197" t="str">
        <f t="shared" si="21"/>
        <v>Unique</v>
      </c>
      <c r="L197" t="str">
        <f t="shared" si="22"/>
        <v>OK</v>
      </c>
      <c r="M197" t="str">
        <f t="shared" si="23"/>
        <v>CLEAN</v>
      </c>
      <c r="N197" t="str">
        <f t="shared" si="18"/>
        <v/>
      </c>
    </row>
    <row r="198" spans="1:14" x14ac:dyDescent="0.35">
      <c r="A198" t="s">
        <v>402</v>
      </c>
      <c r="B198" t="s">
        <v>20</v>
      </c>
      <c r="C198" t="s">
        <v>23</v>
      </c>
      <c r="D198">
        <v>1</v>
      </c>
      <c r="E198">
        <v>71272.62</v>
      </c>
      <c r="F198">
        <v>71272.62</v>
      </c>
      <c r="G198" s="1">
        <v>45595</v>
      </c>
      <c r="H198" t="s">
        <v>1113</v>
      </c>
      <c r="I198" t="str">
        <f t="shared" si="19"/>
        <v>OK</v>
      </c>
      <c r="J198" t="str">
        <f t="shared" si="20"/>
        <v>OK</v>
      </c>
      <c r="K198" t="str">
        <f t="shared" si="21"/>
        <v>Unique</v>
      </c>
      <c r="L198" t="str">
        <f t="shared" si="22"/>
        <v>OK</v>
      </c>
      <c r="M198" t="str">
        <f t="shared" si="23"/>
        <v>CLEAN</v>
      </c>
      <c r="N198" t="str">
        <f t="shared" si="18"/>
        <v/>
      </c>
    </row>
    <row r="199" spans="1:14" x14ac:dyDescent="0.35">
      <c r="A199" t="s">
        <v>403</v>
      </c>
      <c r="B199" t="s">
        <v>79</v>
      </c>
      <c r="C199" t="s">
        <v>90</v>
      </c>
      <c r="D199">
        <v>58</v>
      </c>
      <c r="E199">
        <v>200501.94</v>
      </c>
      <c r="F199">
        <v>11629112.52</v>
      </c>
      <c r="G199" s="1">
        <v>45442</v>
      </c>
      <c r="H199" t="s">
        <v>404</v>
      </c>
      <c r="I199" t="str">
        <f t="shared" si="19"/>
        <v>OK</v>
      </c>
      <c r="J199" t="str">
        <f t="shared" si="20"/>
        <v>OK</v>
      </c>
      <c r="K199" t="str">
        <f t="shared" si="21"/>
        <v>Unique</v>
      </c>
      <c r="L199" t="str">
        <f t="shared" si="22"/>
        <v>OK</v>
      </c>
      <c r="M199" t="str">
        <f t="shared" si="23"/>
        <v>CLEAN</v>
      </c>
      <c r="N199" t="str">
        <f t="shared" si="18"/>
        <v/>
      </c>
    </row>
    <row r="200" spans="1:14" x14ac:dyDescent="0.35">
      <c r="A200" t="s">
        <v>405</v>
      </c>
      <c r="B200" t="s">
        <v>20</v>
      </c>
      <c r="C200" t="s">
        <v>12</v>
      </c>
      <c r="D200">
        <v>1</v>
      </c>
      <c r="E200">
        <v>139885.79999999999</v>
      </c>
      <c r="F200">
        <v>139885.79999999999</v>
      </c>
      <c r="G200" s="1">
        <v>45310</v>
      </c>
      <c r="H200" t="s">
        <v>406</v>
      </c>
      <c r="I200" t="str">
        <f t="shared" si="19"/>
        <v>OK</v>
      </c>
      <c r="J200" t="str">
        <f t="shared" si="20"/>
        <v>OK</v>
      </c>
      <c r="K200" t="str">
        <f t="shared" si="21"/>
        <v>Unique</v>
      </c>
      <c r="L200" t="str">
        <f t="shared" si="22"/>
        <v>OK</v>
      </c>
      <c r="M200" t="str">
        <f t="shared" si="23"/>
        <v>CLEAN</v>
      </c>
      <c r="N200" t="str">
        <f t="shared" si="18"/>
        <v/>
      </c>
    </row>
    <row r="201" spans="1:14" x14ac:dyDescent="0.35">
      <c r="A201" t="s">
        <v>407</v>
      </c>
      <c r="B201" t="s">
        <v>11</v>
      </c>
      <c r="C201" t="s">
        <v>23</v>
      </c>
      <c r="D201">
        <v>37</v>
      </c>
      <c r="E201">
        <v>48335.19</v>
      </c>
      <c r="F201">
        <v>1788402.03</v>
      </c>
      <c r="G201" s="1">
        <v>45790</v>
      </c>
      <c r="H201" t="s">
        <v>408</v>
      </c>
      <c r="I201" t="str">
        <f t="shared" si="19"/>
        <v>OK</v>
      </c>
      <c r="J201" t="str">
        <f t="shared" si="20"/>
        <v>OK</v>
      </c>
      <c r="K201" t="str">
        <f t="shared" si="21"/>
        <v>Unique</v>
      </c>
      <c r="L201" t="str">
        <f t="shared" si="22"/>
        <v>OK</v>
      </c>
      <c r="M201" t="str">
        <f t="shared" si="23"/>
        <v>CLEAN</v>
      </c>
      <c r="N201" t="str">
        <f t="shared" si="18"/>
        <v/>
      </c>
    </row>
    <row r="202" spans="1:14" x14ac:dyDescent="0.35">
      <c r="A202" t="s">
        <v>409</v>
      </c>
      <c r="B202" t="s">
        <v>37</v>
      </c>
      <c r="C202" t="s">
        <v>90</v>
      </c>
      <c r="D202">
        <v>83</v>
      </c>
      <c r="E202">
        <v>0</v>
      </c>
      <c r="F202">
        <v>0</v>
      </c>
      <c r="G202" s="1">
        <v>45818</v>
      </c>
      <c r="H202" t="s">
        <v>410</v>
      </c>
      <c r="I202" t="str">
        <f t="shared" si="19"/>
        <v>Check Price</v>
      </c>
      <c r="J202" t="str">
        <f t="shared" si="20"/>
        <v>Zero Sale</v>
      </c>
      <c r="K202" t="str">
        <f t="shared" si="21"/>
        <v>Unique</v>
      </c>
      <c r="L202" t="str">
        <f t="shared" si="22"/>
        <v>OK</v>
      </c>
      <c r="M202" t="str">
        <f t="shared" si="23"/>
        <v>EXCEPTION</v>
      </c>
      <c r="N202" t="str">
        <f t="shared" si="18"/>
        <v>Price Issue, Zero Sale</v>
      </c>
    </row>
    <row r="203" spans="1:14" x14ac:dyDescent="0.35">
      <c r="A203" t="s">
        <v>411</v>
      </c>
      <c r="B203" t="s">
        <v>45</v>
      </c>
      <c r="C203" t="s">
        <v>90</v>
      </c>
      <c r="D203">
        <v>1</v>
      </c>
      <c r="E203">
        <v>205979.05</v>
      </c>
      <c r="F203">
        <v>205979.05</v>
      </c>
      <c r="G203" s="1">
        <v>45242</v>
      </c>
      <c r="H203" t="s">
        <v>412</v>
      </c>
      <c r="I203" t="str">
        <f t="shared" si="19"/>
        <v>OK</v>
      </c>
      <c r="J203" t="str">
        <f t="shared" si="20"/>
        <v>OK</v>
      </c>
      <c r="K203" t="str">
        <f t="shared" si="21"/>
        <v>Unique</v>
      </c>
      <c r="L203" t="str">
        <f t="shared" si="22"/>
        <v>OK</v>
      </c>
      <c r="M203" t="str">
        <f t="shared" si="23"/>
        <v>CLEAN</v>
      </c>
      <c r="N203" t="str">
        <f t="shared" si="18"/>
        <v/>
      </c>
    </row>
    <row r="204" spans="1:14" x14ac:dyDescent="0.35">
      <c r="A204" t="s">
        <v>413</v>
      </c>
      <c r="B204" t="s">
        <v>20</v>
      </c>
      <c r="C204" t="s">
        <v>23</v>
      </c>
      <c r="D204">
        <v>1</v>
      </c>
      <c r="E204">
        <v>276970.25</v>
      </c>
      <c r="F204">
        <v>276970.25</v>
      </c>
      <c r="G204" s="1">
        <v>45749</v>
      </c>
      <c r="H204" t="s">
        <v>414</v>
      </c>
      <c r="I204" t="str">
        <f t="shared" si="19"/>
        <v>OK</v>
      </c>
      <c r="J204" t="str">
        <f t="shared" si="20"/>
        <v>OK</v>
      </c>
      <c r="K204" t="str">
        <f t="shared" si="21"/>
        <v>Unique</v>
      </c>
      <c r="L204" t="str">
        <f t="shared" si="22"/>
        <v>OK</v>
      </c>
      <c r="M204" t="str">
        <f t="shared" si="23"/>
        <v>CLEAN</v>
      </c>
      <c r="N204" t="str">
        <f t="shared" si="18"/>
        <v/>
      </c>
    </row>
    <row r="205" spans="1:14" x14ac:dyDescent="0.35">
      <c r="A205" t="s">
        <v>415</v>
      </c>
      <c r="B205" t="s">
        <v>37</v>
      </c>
      <c r="C205" t="s">
        <v>12</v>
      </c>
      <c r="D205">
        <v>1</v>
      </c>
      <c r="E205">
        <v>266396.52</v>
      </c>
      <c r="F205">
        <v>266396.52</v>
      </c>
      <c r="G205" s="1">
        <v>45372</v>
      </c>
      <c r="H205" t="s">
        <v>416</v>
      </c>
      <c r="I205" t="str">
        <f t="shared" si="19"/>
        <v>OK</v>
      </c>
      <c r="J205" t="str">
        <f t="shared" si="20"/>
        <v>OK</v>
      </c>
      <c r="K205" t="str">
        <f t="shared" si="21"/>
        <v>Unique</v>
      </c>
      <c r="L205" t="str">
        <f t="shared" si="22"/>
        <v>OK</v>
      </c>
      <c r="M205" t="str">
        <f t="shared" si="23"/>
        <v>CLEAN</v>
      </c>
      <c r="N205" t="str">
        <f t="shared" si="18"/>
        <v/>
      </c>
    </row>
    <row r="206" spans="1:14" x14ac:dyDescent="0.35">
      <c r="A206" t="s">
        <v>417</v>
      </c>
      <c r="B206" t="s">
        <v>45</v>
      </c>
      <c r="C206" t="s">
        <v>17</v>
      </c>
      <c r="D206">
        <v>1</v>
      </c>
      <c r="E206">
        <v>231067.39</v>
      </c>
      <c r="F206">
        <v>231067.39</v>
      </c>
      <c r="G206" s="1">
        <v>45843</v>
      </c>
      <c r="H206" t="s">
        <v>418</v>
      </c>
      <c r="I206" t="str">
        <f t="shared" si="19"/>
        <v>OK</v>
      </c>
      <c r="J206" t="str">
        <f t="shared" si="20"/>
        <v>OK</v>
      </c>
      <c r="K206" t="str">
        <f t="shared" si="21"/>
        <v>Unique</v>
      </c>
      <c r="L206" t="str">
        <f t="shared" si="22"/>
        <v>OK</v>
      </c>
      <c r="M206" t="str">
        <f t="shared" si="23"/>
        <v>CLEAN</v>
      </c>
      <c r="N206" t="str">
        <f t="shared" si="18"/>
        <v/>
      </c>
    </row>
    <row r="207" spans="1:14" x14ac:dyDescent="0.35">
      <c r="A207" t="s">
        <v>419</v>
      </c>
      <c r="B207" t="s">
        <v>89</v>
      </c>
      <c r="C207" t="s">
        <v>46</v>
      </c>
      <c r="D207">
        <v>1</v>
      </c>
      <c r="E207">
        <v>207241.97</v>
      </c>
      <c r="F207">
        <v>207241.97</v>
      </c>
      <c r="G207" s="1">
        <v>45566</v>
      </c>
      <c r="H207" t="s">
        <v>420</v>
      </c>
      <c r="I207" t="str">
        <f t="shared" si="19"/>
        <v>OK</v>
      </c>
      <c r="J207" t="str">
        <f t="shared" si="20"/>
        <v>OK</v>
      </c>
      <c r="K207" t="str">
        <f t="shared" si="21"/>
        <v>Unique</v>
      </c>
      <c r="L207" t="str">
        <f t="shared" si="22"/>
        <v>OK</v>
      </c>
      <c r="M207" t="str">
        <f t="shared" si="23"/>
        <v>CLEAN</v>
      </c>
      <c r="N207" t="str">
        <f t="shared" si="18"/>
        <v/>
      </c>
    </row>
    <row r="208" spans="1:14" x14ac:dyDescent="0.35">
      <c r="A208" t="s">
        <v>421</v>
      </c>
      <c r="B208" t="s">
        <v>37</v>
      </c>
      <c r="C208" t="s">
        <v>90</v>
      </c>
      <c r="D208">
        <v>1</v>
      </c>
      <c r="E208">
        <v>191794.04</v>
      </c>
      <c r="F208">
        <v>191794.04</v>
      </c>
      <c r="G208" s="1">
        <v>45678</v>
      </c>
      <c r="H208" t="s">
        <v>422</v>
      </c>
      <c r="I208" t="str">
        <f t="shared" si="19"/>
        <v>OK</v>
      </c>
      <c r="J208" t="str">
        <f t="shared" si="20"/>
        <v>OK</v>
      </c>
      <c r="K208" t="str">
        <f t="shared" si="21"/>
        <v>Unique</v>
      </c>
      <c r="L208" t="str">
        <f t="shared" si="22"/>
        <v>OK</v>
      </c>
      <c r="M208" t="str">
        <f t="shared" si="23"/>
        <v>CLEAN</v>
      </c>
      <c r="N208" t="str">
        <f t="shared" si="18"/>
        <v/>
      </c>
    </row>
    <row r="209" spans="1:14" x14ac:dyDescent="0.35">
      <c r="A209" t="s">
        <v>423</v>
      </c>
      <c r="B209" t="s">
        <v>58</v>
      </c>
      <c r="C209" t="s">
        <v>23</v>
      </c>
      <c r="D209">
        <v>1</v>
      </c>
      <c r="E209">
        <v>282220.37</v>
      </c>
      <c r="F209">
        <v>282220.37</v>
      </c>
      <c r="G209" s="1">
        <v>45360</v>
      </c>
      <c r="H209" t="s">
        <v>424</v>
      </c>
      <c r="I209" t="str">
        <f t="shared" si="19"/>
        <v>OK</v>
      </c>
      <c r="J209" t="str">
        <f t="shared" si="20"/>
        <v>OK</v>
      </c>
      <c r="K209" t="str">
        <f t="shared" si="21"/>
        <v>Unique</v>
      </c>
      <c r="L209" t="str">
        <f t="shared" si="22"/>
        <v>OK</v>
      </c>
      <c r="M209" t="str">
        <f t="shared" si="23"/>
        <v>CLEAN</v>
      </c>
      <c r="N209" t="str">
        <f t="shared" si="18"/>
        <v/>
      </c>
    </row>
    <row r="210" spans="1:14" x14ac:dyDescent="0.35">
      <c r="A210" t="s">
        <v>1047</v>
      </c>
      <c r="B210" t="s">
        <v>20</v>
      </c>
      <c r="C210" t="s">
        <v>17</v>
      </c>
      <c r="D210">
        <v>1</v>
      </c>
      <c r="E210">
        <v>110579.4</v>
      </c>
      <c r="F210">
        <v>110579.4</v>
      </c>
      <c r="G210" s="1">
        <v>45265</v>
      </c>
      <c r="H210" t="s">
        <v>425</v>
      </c>
      <c r="I210" t="str">
        <f t="shared" si="19"/>
        <v>OK</v>
      </c>
      <c r="J210" t="str">
        <f t="shared" si="20"/>
        <v>OK</v>
      </c>
      <c r="K210" t="str">
        <f t="shared" si="21"/>
        <v>Unique</v>
      </c>
      <c r="L210" t="str">
        <f t="shared" si="22"/>
        <v>OK</v>
      </c>
      <c r="M210" t="str">
        <f t="shared" si="23"/>
        <v>CLEAN</v>
      </c>
      <c r="N210" t="str">
        <f t="shared" si="18"/>
        <v/>
      </c>
    </row>
    <row r="211" spans="1:14" x14ac:dyDescent="0.35">
      <c r="A211" t="s">
        <v>426</v>
      </c>
      <c r="B211" t="s">
        <v>16</v>
      </c>
      <c r="C211" t="s">
        <v>17</v>
      </c>
      <c r="D211">
        <v>65</v>
      </c>
      <c r="E211">
        <v>66644.350000000006</v>
      </c>
      <c r="F211">
        <v>4331882.75</v>
      </c>
      <c r="G211" s="1">
        <v>45710</v>
      </c>
      <c r="H211" t="s">
        <v>427</v>
      </c>
      <c r="I211" t="str">
        <f t="shared" si="19"/>
        <v>OK</v>
      </c>
      <c r="J211" t="str">
        <f t="shared" si="20"/>
        <v>OK</v>
      </c>
      <c r="K211" t="str">
        <f t="shared" si="21"/>
        <v>Unique</v>
      </c>
      <c r="L211" t="str">
        <f t="shared" si="22"/>
        <v>OK</v>
      </c>
      <c r="M211" t="str">
        <f t="shared" si="23"/>
        <v>CLEAN</v>
      </c>
      <c r="N211" t="str">
        <f t="shared" si="18"/>
        <v/>
      </c>
    </row>
    <row r="212" spans="1:14" x14ac:dyDescent="0.35">
      <c r="A212" t="s">
        <v>428</v>
      </c>
      <c r="B212" t="s">
        <v>213</v>
      </c>
      <c r="C212" t="s">
        <v>17</v>
      </c>
      <c r="D212">
        <v>1</v>
      </c>
      <c r="E212">
        <v>0</v>
      </c>
      <c r="F212">
        <v>0</v>
      </c>
      <c r="G212" s="1">
        <v>45241</v>
      </c>
      <c r="H212" t="s">
        <v>1114</v>
      </c>
      <c r="I212" t="str">
        <f t="shared" si="19"/>
        <v>Check Price</v>
      </c>
      <c r="J212" t="str">
        <f t="shared" si="20"/>
        <v>Zero Sale</v>
      </c>
      <c r="K212" t="str">
        <f t="shared" si="21"/>
        <v>Unique</v>
      </c>
      <c r="L212" t="str">
        <f t="shared" si="22"/>
        <v>OK</v>
      </c>
      <c r="M212" t="str">
        <f t="shared" si="23"/>
        <v>EXCEPTION</v>
      </c>
      <c r="N212" t="str">
        <f t="shared" si="18"/>
        <v>Price Issue, Zero Sale</v>
      </c>
    </row>
    <row r="213" spans="1:14" x14ac:dyDescent="0.35">
      <c r="A213" t="s">
        <v>429</v>
      </c>
      <c r="B213" t="s">
        <v>53</v>
      </c>
      <c r="C213" t="s">
        <v>55</v>
      </c>
      <c r="D213">
        <v>1</v>
      </c>
      <c r="E213">
        <v>287229.48</v>
      </c>
      <c r="F213">
        <v>287229.48</v>
      </c>
      <c r="G213" s="1">
        <v>45505</v>
      </c>
      <c r="H213" t="s">
        <v>430</v>
      </c>
      <c r="I213" t="str">
        <f t="shared" si="19"/>
        <v>OK</v>
      </c>
      <c r="J213" t="str">
        <f t="shared" si="20"/>
        <v>OK</v>
      </c>
      <c r="K213" t="str">
        <f t="shared" si="21"/>
        <v>Unique</v>
      </c>
      <c r="L213" t="str">
        <f t="shared" si="22"/>
        <v>OK</v>
      </c>
      <c r="M213" t="str">
        <f t="shared" si="23"/>
        <v>CLEAN</v>
      </c>
      <c r="N213" t="str">
        <f t="shared" si="18"/>
        <v/>
      </c>
    </row>
    <row r="214" spans="1:14" x14ac:dyDescent="0.35">
      <c r="A214" t="s">
        <v>431</v>
      </c>
      <c r="B214" t="s">
        <v>34</v>
      </c>
      <c r="C214" t="s">
        <v>12</v>
      </c>
      <c r="D214">
        <v>92</v>
      </c>
      <c r="E214">
        <v>143715.48000000001</v>
      </c>
      <c r="F214">
        <v>13221824.16</v>
      </c>
      <c r="G214" s="1">
        <v>45517</v>
      </c>
      <c r="H214" t="s">
        <v>432</v>
      </c>
      <c r="I214" t="str">
        <f t="shared" si="19"/>
        <v>OK</v>
      </c>
      <c r="J214" t="str">
        <f t="shared" si="20"/>
        <v>OK</v>
      </c>
      <c r="K214" t="str">
        <f t="shared" si="21"/>
        <v>Unique</v>
      </c>
      <c r="L214" t="str">
        <f t="shared" si="22"/>
        <v>OK</v>
      </c>
      <c r="M214" t="str">
        <f t="shared" si="23"/>
        <v>CLEAN</v>
      </c>
      <c r="N214" t="str">
        <f t="shared" si="18"/>
        <v/>
      </c>
    </row>
    <row r="215" spans="1:14" x14ac:dyDescent="0.35">
      <c r="A215" t="s">
        <v>433</v>
      </c>
      <c r="B215" t="s">
        <v>26</v>
      </c>
      <c r="C215" t="s">
        <v>90</v>
      </c>
      <c r="D215">
        <v>1</v>
      </c>
      <c r="E215">
        <v>136766.10999999999</v>
      </c>
      <c r="F215">
        <v>136766.10999999999</v>
      </c>
      <c r="G215" s="1">
        <v>45480</v>
      </c>
      <c r="H215" t="s">
        <v>434</v>
      </c>
      <c r="I215" t="str">
        <f t="shared" si="19"/>
        <v>OK</v>
      </c>
      <c r="J215" t="str">
        <f t="shared" si="20"/>
        <v>OK</v>
      </c>
      <c r="K215" t="str">
        <f t="shared" si="21"/>
        <v>Unique</v>
      </c>
      <c r="L215" t="str">
        <f t="shared" si="22"/>
        <v>OK</v>
      </c>
      <c r="M215" t="str">
        <f t="shared" si="23"/>
        <v>CLEAN</v>
      </c>
      <c r="N215" t="str">
        <f t="shared" si="18"/>
        <v/>
      </c>
    </row>
    <row r="216" spans="1:14" x14ac:dyDescent="0.35">
      <c r="A216" t="s">
        <v>435</v>
      </c>
      <c r="B216" t="s">
        <v>79</v>
      </c>
      <c r="C216" t="s">
        <v>23</v>
      </c>
      <c r="D216">
        <v>23</v>
      </c>
      <c r="E216">
        <v>296656.96999999997</v>
      </c>
      <c r="F216">
        <v>6823110.3099999996</v>
      </c>
      <c r="G216" s="1">
        <v>45505</v>
      </c>
      <c r="H216" t="s">
        <v>436</v>
      </c>
      <c r="I216" t="str">
        <f t="shared" si="19"/>
        <v>OK</v>
      </c>
      <c r="J216" t="str">
        <f t="shared" si="20"/>
        <v>OK</v>
      </c>
      <c r="K216" t="str">
        <f t="shared" si="21"/>
        <v>Unique</v>
      </c>
      <c r="L216" t="str">
        <f t="shared" si="22"/>
        <v>OK</v>
      </c>
      <c r="M216" t="str">
        <f t="shared" si="23"/>
        <v>CLEAN</v>
      </c>
      <c r="N216" t="str">
        <f t="shared" si="18"/>
        <v/>
      </c>
    </row>
    <row r="217" spans="1:14" x14ac:dyDescent="0.35">
      <c r="A217" t="s">
        <v>437</v>
      </c>
      <c r="B217" t="s">
        <v>79</v>
      </c>
      <c r="C217" t="s">
        <v>17</v>
      </c>
      <c r="D217">
        <v>1</v>
      </c>
      <c r="E217">
        <v>112400.64</v>
      </c>
      <c r="F217">
        <v>112400.64</v>
      </c>
      <c r="G217" s="1">
        <v>45800</v>
      </c>
      <c r="H217" t="s">
        <v>438</v>
      </c>
      <c r="I217" t="str">
        <f t="shared" si="19"/>
        <v>OK</v>
      </c>
      <c r="J217" t="str">
        <f t="shared" si="20"/>
        <v>OK</v>
      </c>
      <c r="K217" t="str">
        <f t="shared" si="21"/>
        <v>Unique</v>
      </c>
      <c r="L217" t="str">
        <f t="shared" si="22"/>
        <v>OK</v>
      </c>
      <c r="M217" t="str">
        <f t="shared" si="23"/>
        <v>CLEAN</v>
      </c>
      <c r="N217" t="str">
        <f t="shared" si="18"/>
        <v/>
      </c>
    </row>
    <row r="218" spans="1:14" x14ac:dyDescent="0.35">
      <c r="A218" t="s">
        <v>439</v>
      </c>
      <c r="B218" t="s">
        <v>213</v>
      </c>
      <c r="C218" t="s">
        <v>46</v>
      </c>
      <c r="D218">
        <v>1</v>
      </c>
      <c r="E218">
        <v>210731.25</v>
      </c>
      <c r="F218">
        <v>210731.25</v>
      </c>
      <c r="G218" s="1">
        <v>45357</v>
      </c>
      <c r="H218" t="s">
        <v>440</v>
      </c>
      <c r="I218" t="str">
        <f t="shared" si="19"/>
        <v>OK</v>
      </c>
      <c r="J218" t="str">
        <f t="shared" si="20"/>
        <v>OK</v>
      </c>
      <c r="K218" t="str">
        <f t="shared" si="21"/>
        <v>Unique</v>
      </c>
      <c r="L218" t="str">
        <f t="shared" si="22"/>
        <v>OK</v>
      </c>
      <c r="M218" t="str">
        <f t="shared" si="23"/>
        <v>CLEAN</v>
      </c>
      <c r="N218" t="str">
        <f t="shared" si="18"/>
        <v/>
      </c>
    </row>
    <row r="219" spans="1:14" x14ac:dyDescent="0.35">
      <c r="A219" t="s">
        <v>441</v>
      </c>
      <c r="B219" t="s">
        <v>20</v>
      </c>
      <c r="C219" t="s">
        <v>46</v>
      </c>
      <c r="D219">
        <v>1</v>
      </c>
      <c r="E219">
        <v>273882.67</v>
      </c>
      <c r="F219">
        <v>273882.67</v>
      </c>
      <c r="G219" s="1">
        <v>45504</v>
      </c>
      <c r="H219" t="s">
        <v>442</v>
      </c>
      <c r="I219" t="str">
        <f t="shared" si="19"/>
        <v>OK</v>
      </c>
      <c r="J219" t="str">
        <f t="shared" si="20"/>
        <v>OK</v>
      </c>
      <c r="K219" t="str">
        <f t="shared" si="21"/>
        <v>Unique</v>
      </c>
      <c r="L219" t="str">
        <f t="shared" si="22"/>
        <v>OK</v>
      </c>
      <c r="M219" t="str">
        <f t="shared" si="23"/>
        <v>CLEAN</v>
      </c>
      <c r="N219" t="str">
        <f t="shared" si="18"/>
        <v/>
      </c>
    </row>
    <row r="220" spans="1:14" x14ac:dyDescent="0.35">
      <c r="A220" t="s">
        <v>1049</v>
      </c>
      <c r="B220" t="s">
        <v>213</v>
      </c>
      <c r="C220" t="s">
        <v>70</v>
      </c>
      <c r="D220">
        <v>79</v>
      </c>
      <c r="E220">
        <v>227326.48</v>
      </c>
      <c r="F220">
        <v>17958791.920000002</v>
      </c>
      <c r="G220" s="1">
        <v>45136</v>
      </c>
      <c r="H220" t="s">
        <v>443</v>
      </c>
      <c r="I220" t="str">
        <f t="shared" si="19"/>
        <v>OK</v>
      </c>
      <c r="J220" t="str">
        <f t="shared" si="20"/>
        <v>OK</v>
      </c>
      <c r="K220" t="str">
        <f t="shared" si="21"/>
        <v>Unique</v>
      </c>
      <c r="L220" t="str">
        <f t="shared" si="22"/>
        <v>OK</v>
      </c>
      <c r="M220" t="str">
        <f t="shared" si="23"/>
        <v>CLEAN</v>
      </c>
      <c r="N220" t="str">
        <f t="shared" si="18"/>
        <v/>
      </c>
    </row>
    <row r="221" spans="1:14" x14ac:dyDescent="0.35">
      <c r="A221" t="s">
        <v>444</v>
      </c>
      <c r="B221" t="s">
        <v>42</v>
      </c>
      <c r="C221" t="s">
        <v>17</v>
      </c>
      <c r="D221">
        <v>1</v>
      </c>
      <c r="E221">
        <v>240697.5</v>
      </c>
      <c r="F221">
        <v>240697.5</v>
      </c>
      <c r="G221" s="1">
        <v>45187</v>
      </c>
      <c r="H221" t="s">
        <v>445</v>
      </c>
      <c r="I221" t="str">
        <f t="shared" si="19"/>
        <v>OK</v>
      </c>
      <c r="J221" t="str">
        <f t="shared" si="20"/>
        <v>OK</v>
      </c>
      <c r="K221" t="str">
        <f t="shared" si="21"/>
        <v>Unique</v>
      </c>
      <c r="L221" t="str">
        <f t="shared" si="22"/>
        <v>OK</v>
      </c>
      <c r="M221" t="str">
        <f t="shared" si="23"/>
        <v>CLEAN</v>
      </c>
      <c r="N221" t="str">
        <f t="shared" si="18"/>
        <v/>
      </c>
    </row>
    <row r="222" spans="1:14" x14ac:dyDescent="0.35">
      <c r="A222" t="s">
        <v>446</v>
      </c>
      <c r="B222" t="s">
        <v>53</v>
      </c>
      <c r="C222" t="s">
        <v>46</v>
      </c>
      <c r="D222">
        <v>1</v>
      </c>
      <c r="E222">
        <v>0</v>
      </c>
      <c r="F222">
        <v>0</v>
      </c>
      <c r="G222" s="1">
        <v>45423</v>
      </c>
      <c r="H222" t="s">
        <v>447</v>
      </c>
      <c r="I222" t="str">
        <f t="shared" si="19"/>
        <v>Check Price</v>
      </c>
      <c r="J222" t="str">
        <f t="shared" si="20"/>
        <v>Zero Sale</v>
      </c>
      <c r="K222" t="str">
        <f t="shared" si="21"/>
        <v>Unique</v>
      </c>
      <c r="L222" t="str">
        <f t="shared" si="22"/>
        <v>OK</v>
      </c>
      <c r="M222" t="str">
        <f t="shared" si="23"/>
        <v>EXCEPTION</v>
      </c>
      <c r="N222" t="str">
        <f t="shared" si="18"/>
        <v>Price Issue, Zero Sale</v>
      </c>
    </row>
    <row r="223" spans="1:14" x14ac:dyDescent="0.35">
      <c r="A223" t="s">
        <v>1047</v>
      </c>
      <c r="B223" t="s">
        <v>31</v>
      </c>
      <c r="C223" t="s">
        <v>90</v>
      </c>
      <c r="D223">
        <v>1</v>
      </c>
      <c r="E223">
        <v>247768.25</v>
      </c>
      <c r="F223">
        <v>247768.25</v>
      </c>
      <c r="G223" s="1">
        <v>45510</v>
      </c>
      <c r="H223" t="s">
        <v>448</v>
      </c>
      <c r="I223" t="str">
        <f t="shared" si="19"/>
        <v>OK</v>
      </c>
      <c r="J223" t="str">
        <f t="shared" si="20"/>
        <v>OK</v>
      </c>
      <c r="K223" t="str">
        <f t="shared" si="21"/>
        <v>Unique</v>
      </c>
      <c r="L223" t="str">
        <f t="shared" si="22"/>
        <v>OK</v>
      </c>
      <c r="M223" t="str">
        <f t="shared" si="23"/>
        <v>CLEAN</v>
      </c>
      <c r="N223" t="str">
        <f t="shared" si="18"/>
        <v/>
      </c>
    </row>
    <row r="224" spans="1:14" x14ac:dyDescent="0.35">
      <c r="A224" t="s">
        <v>449</v>
      </c>
      <c r="B224" t="s">
        <v>31</v>
      </c>
      <c r="C224" t="s">
        <v>12</v>
      </c>
      <c r="D224">
        <v>1</v>
      </c>
      <c r="E224">
        <v>228676.96</v>
      </c>
      <c r="F224">
        <v>228676.96</v>
      </c>
      <c r="G224" s="1">
        <v>45473</v>
      </c>
      <c r="H224" t="s">
        <v>450</v>
      </c>
      <c r="I224" t="str">
        <f t="shared" si="19"/>
        <v>OK</v>
      </c>
      <c r="J224" t="str">
        <f t="shared" si="20"/>
        <v>OK</v>
      </c>
      <c r="K224" t="str">
        <f t="shared" si="21"/>
        <v>Unique</v>
      </c>
      <c r="L224" t="str">
        <f t="shared" si="22"/>
        <v>OK</v>
      </c>
      <c r="M224" t="str">
        <f t="shared" si="23"/>
        <v>CLEAN</v>
      </c>
      <c r="N224" t="str">
        <f t="shared" si="18"/>
        <v/>
      </c>
    </row>
    <row r="225" spans="1:14" x14ac:dyDescent="0.35">
      <c r="A225" t="s">
        <v>451</v>
      </c>
      <c r="B225" t="s">
        <v>42</v>
      </c>
      <c r="C225" t="s">
        <v>12</v>
      </c>
      <c r="D225">
        <v>1</v>
      </c>
      <c r="E225">
        <v>204262.41</v>
      </c>
      <c r="F225">
        <v>204262.41</v>
      </c>
      <c r="G225" s="1">
        <v>45304</v>
      </c>
      <c r="H225" t="s">
        <v>452</v>
      </c>
      <c r="I225" t="str">
        <f t="shared" si="19"/>
        <v>OK</v>
      </c>
      <c r="J225" t="str">
        <f t="shared" si="20"/>
        <v>OK</v>
      </c>
      <c r="K225" t="str">
        <f t="shared" si="21"/>
        <v>Unique</v>
      </c>
      <c r="L225" t="str">
        <f t="shared" si="22"/>
        <v>OK</v>
      </c>
      <c r="M225" t="str">
        <f t="shared" si="23"/>
        <v>CLEAN</v>
      </c>
      <c r="N225" t="str">
        <f t="shared" si="18"/>
        <v/>
      </c>
    </row>
    <row r="226" spans="1:14" x14ac:dyDescent="0.35">
      <c r="A226" t="s">
        <v>453</v>
      </c>
      <c r="B226" t="s">
        <v>109</v>
      </c>
      <c r="C226" t="s">
        <v>23</v>
      </c>
      <c r="D226">
        <v>1</v>
      </c>
      <c r="E226">
        <v>178946.43</v>
      </c>
      <c r="F226">
        <v>178946.43</v>
      </c>
      <c r="G226" s="1">
        <v>45285</v>
      </c>
      <c r="H226" t="s">
        <v>1115</v>
      </c>
      <c r="I226" t="str">
        <f t="shared" si="19"/>
        <v>OK</v>
      </c>
      <c r="J226" t="str">
        <f t="shared" si="20"/>
        <v>OK</v>
      </c>
      <c r="K226" t="str">
        <f t="shared" si="21"/>
        <v>Unique</v>
      </c>
      <c r="L226" t="str">
        <f t="shared" si="22"/>
        <v>OK</v>
      </c>
      <c r="M226" t="str">
        <f t="shared" si="23"/>
        <v>CLEAN</v>
      </c>
      <c r="N226" t="str">
        <f t="shared" si="18"/>
        <v/>
      </c>
    </row>
    <row r="227" spans="1:14" x14ac:dyDescent="0.35">
      <c r="A227" t="s">
        <v>454</v>
      </c>
      <c r="B227" t="s">
        <v>42</v>
      </c>
      <c r="C227" t="s">
        <v>46</v>
      </c>
      <c r="D227">
        <v>1</v>
      </c>
      <c r="E227">
        <v>236317.52</v>
      </c>
      <c r="F227">
        <v>236317.52</v>
      </c>
      <c r="G227" s="1">
        <v>45571</v>
      </c>
      <c r="H227" t="s">
        <v>455</v>
      </c>
      <c r="I227" t="str">
        <f t="shared" si="19"/>
        <v>OK</v>
      </c>
      <c r="J227" t="str">
        <f t="shared" si="20"/>
        <v>OK</v>
      </c>
      <c r="K227" t="str">
        <f t="shared" si="21"/>
        <v>Unique</v>
      </c>
      <c r="L227" t="str">
        <f t="shared" si="22"/>
        <v>OK</v>
      </c>
      <c r="M227" t="str">
        <f t="shared" si="23"/>
        <v>CLEAN</v>
      </c>
      <c r="N227" t="str">
        <f t="shared" si="18"/>
        <v/>
      </c>
    </row>
    <row r="228" spans="1:14" x14ac:dyDescent="0.35">
      <c r="A228" t="s">
        <v>456</v>
      </c>
      <c r="B228" t="s">
        <v>42</v>
      </c>
      <c r="C228" t="s">
        <v>27</v>
      </c>
      <c r="D228">
        <v>1</v>
      </c>
      <c r="E228">
        <v>157889.24</v>
      </c>
      <c r="F228">
        <v>157889.24</v>
      </c>
      <c r="G228" s="1">
        <v>45392</v>
      </c>
      <c r="H228" t="s">
        <v>457</v>
      </c>
      <c r="I228" t="str">
        <f t="shared" si="19"/>
        <v>OK</v>
      </c>
      <c r="J228" t="str">
        <f t="shared" si="20"/>
        <v>OK</v>
      </c>
      <c r="K228" t="str">
        <f t="shared" si="21"/>
        <v>Unique</v>
      </c>
      <c r="L228" t="str">
        <f t="shared" si="22"/>
        <v>OK</v>
      </c>
      <c r="M228" t="str">
        <f t="shared" si="23"/>
        <v>CLEAN</v>
      </c>
      <c r="N228" t="str">
        <f t="shared" si="18"/>
        <v/>
      </c>
    </row>
    <row r="229" spans="1:14" x14ac:dyDescent="0.35">
      <c r="A229" t="s">
        <v>458</v>
      </c>
      <c r="B229" t="s">
        <v>76</v>
      </c>
      <c r="C229" t="s">
        <v>46</v>
      </c>
      <c r="D229">
        <v>1</v>
      </c>
      <c r="E229">
        <v>158687.85</v>
      </c>
      <c r="F229">
        <v>158687.85</v>
      </c>
      <c r="G229" s="1">
        <v>45155</v>
      </c>
      <c r="H229" t="s">
        <v>459</v>
      </c>
      <c r="I229" t="str">
        <f t="shared" si="19"/>
        <v>OK</v>
      </c>
      <c r="J229" t="str">
        <f t="shared" si="20"/>
        <v>OK</v>
      </c>
      <c r="K229" t="str">
        <f t="shared" si="21"/>
        <v>Unique</v>
      </c>
      <c r="L229" t="str">
        <f t="shared" si="22"/>
        <v>OK</v>
      </c>
      <c r="M229" t="str">
        <f t="shared" si="23"/>
        <v>CLEAN</v>
      </c>
      <c r="N229" t="str">
        <f t="shared" si="18"/>
        <v/>
      </c>
    </row>
    <row r="230" spans="1:14" x14ac:dyDescent="0.35">
      <c r="A230" t="s">
        <v>460</v>
      </c>
      <c r="B230" t="s">
        <v>45</v>
      </c>
      <c r="C230" t="s">
        <v>70</v>
      </c>
      <c r="D230">
        <v>1</v>
      </c>
      <c r="E230">
        <v>108854.57</v>
      </c>
      <c r="F230">
        <v>108854.57</v>
      </c>
      <c r="G230" s="1">
        <v>45157</v>
      </c>
      <c r="H230" t="s">
        <v>461</v>
      </c>
      <c r="I230" t="str">
        <f t="shared" si="19"/>
        <v>OK</v>
      </c>
      <c r="J230" t="str">
        <f t="shared" si="20"/>
        <v>OK</v>
      </c>
      <c r="K230" t="str">
        <f t="shared" si="21"/>
        <v>Unique</v>
      </c>
      <c r="L230" t="str">
        <f t="shared" si="22"/>
        <v>OK</v>
      </c>
      <c r="M230" t="str">
        <f t="shared" si="23"/>
        <v>CLEAN</v>
      </c>
      <c r="N230" t="str">
        <f t="shared" si="18"/>
        <v/>
      </c>
    </row>
    <row r="231" spans="1:14" x14ac:dyDescent="0.35">
      <c r="A231" t="s">
        <v>462</v>
      </c>
      <c r="B231" t="s">
        <v>31</v>
      </c>
      <c r="C231" t="s">
        <v>27</v>
      </c>
      <c r="D231">
        <v>1</v>
      </c>
      <c r="E231">
        <v>275214.78999999998</v>
      </c>
      <c r="F231">
        <v>275214.78999999998</v>
      </c>
      <c r="G231" s="1">
        <v>45336</v>
      </c>
      <c r="H231" t="s">
        <v>463</v>
      </c>
      <c r="I231" t="str">
        <f t="shared" si="19"/>
        <v>OK</v>
      </c>
      <c r="J231" t="str">
        <f t="shared" si="20"/>
        <v>OK</v>
      </c>
      <c r="K231" t="str">
        <f t="shared" si="21"/>
        <v>Unique</v>
      </c>
      <c r="L231" t="str">
        <f t="shared" si="22"/>
        <v>OK</v>
      </c>
      <c r="M231" t="str">
        <f t="shared" si="23"/>
        <v>CLEAN</v>
      </c>
      <c r="N231" t="str">
        <f t="shared" si="18"/>
        <v/>
      </c>
    </row>
    <row r="232" spans="1:14" x14ac:dyDescent="0.35">
      <c r="A232" t="s">
        <v>464</v>
      </c>
      <c r="B232" t="s">
        <v>45</v>
      </c>
      <c r="C232" t="s">
        <v>70</v>
      </c>
      <c r="D232">
        <v>78</v>
      </c>
      <c r="E232">
        <v>0</v>
      </c>
      <c r="F232">
        <v>0</v>
      </c>
      <c r="G232" s="1">
        <v>45502</v>
      </c>
      <c r="H232" t="s">
        <v>465</v>
      </c>
      <c r="I232" t="str">
        <f t="shared" si="19"/>
        <v>Check Price</v>
      </c>
      <c r="J232" t="str">
        <f t="shared" si="20"/>
        <v>Zero Sale</v>
      </c>
      <c r="K232" t="str">
        <f t="shared" si="21"/>
        <v>Unique</v>
      </c>
      <c r="L232" t="str">
        <f t="shared" si="22"/>
        <v>OK</v>
      </c>
      <c r="M232" t="str">
        <f t="shared" si="23"/>
        <v>EXCEPTION</v>
      </c>
      <c r="N232" t="str">
        <f t="shared" si="18"/>
        <v>Price Issue, Zero Sale</v>
      </c>
    </row>
    <row r="233" spans="1:14" x14ac:dyDescent="0.35">
      <c r="A233" t="s">
        <v>466</v>
      </c>
      <c r="B233" t="s">
        <v>105</v>
      </c>
      <c r="C233" t="s">
        <v>17</v>
      </c>
      <c r="D233">
        <v>43</v>
      </c>
      <c r="E233">
        <v>34106.53</v>
      </c>
      <c r="F233">
        <v>1466580.79</v>
      </c>
      <c r="G233" s="1">
        <v>45582</v>
      </c>
      <c r="H233" t="s">
        <v>467</v>
      </c>
      <c r="I233" t="str">
        <f t="shared" si="19"/>
        <v>OK</v>
      </c>
      <c r="J233" t="str">
        <f t="shared" si="20"/>
        <v>OK</v>
      </c>
      <c r="K233" t="str">
        <f t="shared" si="21"/>
        <v>Unique</v>
      </c>
      <c r="L233" t="str">
        <f t="shared" si="22"/>
        <v>OK</v>
      </c>
      <c r="M233" t="str">
        <f t="shared" si="23"/>
        <v>CLEAN</v>
      </c>
      <c r="N233" t="str">
        <f t="shared" si="18"/>
        <v/>
      </c>
    </row>
    <row r="234" spans="1:14" x14ac:dyDescent="0.35">
      <c r="A234" t="s">
        <v>468</v>
      </c>
      <c r="B234" t="s">
        <v>89</v>
      </c>
      <c r="C234" t="s">
        <v>17</v>
      </c>
      <c r="D234">
        <v>1</v>
      </c>
      <c r="E234">
        <v>248717.83</v>
      </c>
      <c r="F234">
        <v>248717.83</v>
      </c>
      <c r="G234" s="1">
        <v>45803</v>
      </c>
      <c r="H234" t="s">
        <v>469</v>
      </c>
      <c r="I234" t="str">
        <f t="shared" si="19"/>
        <v>OK</v>
      </c>
      <c r="J234" t="str">
        <f t="shared" si="20"/>
        <v>OK</v>
      </c>
      <c r="K234" t="str">
        <f t="shared" si="21"/>
        <v>Unique</v>
      </c>
      <c r="L234" t="str">
        <f t="shared" si="22"/>
        <v>OK</v>
      </c>
      <c r="M234" t="str">
        <f t="shared" si="23"/>
        <v>CLEAN</v>
      </c>
      <c r="N234" t="str">
        <f t="shared" si="18"/>
        <v/>
      </c>
    </row>
    <row r="235" spans="1:14" x14ac:dyDescent="0.35">
      <c r="A235" t="s">
        <v>470</v>
      </c>
      <c r="B235" t="s">
        <v>31</v>
      </c>
      <c r="C235" t="s">
        <v>23</v>
      </c>
      <c r="D235">
        <v>1</v>
      </c>
      <c r="E235">
        <v>270915</v>
      </c>
      <c r="F235">
        <v>270915</v>
      </c>
      <c r="G235" s="1">
        <v>45772</v>
      </c>
      <c r="H235" t="s">
        <v>471</v>
      </c>
      <c r="I235" t="str">
        <f t="shared" si="19"/>
        <v>OK</v>
      </c>
      <c r="J235" t="str">
        <f t="shared" si="20"/>
        <v>OK</v>
      </c>
      <c r="K235" t="str">
        <f t="shared" si="21"/>
        <v>Unique</v>
      </c>
      <c r="L235" t="str">
        <f t="shared" si="22"/>
        <v>OK</v>
      </c>
      <c r="M235" t="str">
        <f t="shared" si="23"/>
        <v>CLEAN</v>
      </c>
      <c r="N235" t="str">
        <f t="shared" si="18"/>
        <v/>
      </c>
    </row>
    <row r="236" spans="1:14" x14ac:dyDescent="0.35">
      <c r="A236" t="s">
        <v>1047</v>
      </c>
      <c r="B236" t="s">
        <v>20</v>
      </c>
      <c r="C236" t="s">
        <v>70</v>
      </c>
      <c r="D236">
        <v>1</v>
      </c>
      <c r="E236">
        <v>61045.96</v>
      </c>
      <c r="F236">
        <v>61045.96</v>
      </c>
      <c r="G236" s="1">
        <v>45626</v>
      </c>
      <c r="H236" t="s">
        <v>472</v>
      </c>
      <c r="I236" t="str">
        <f t="shared" si="19"/>
        <v>OK</v>
      </c>
      <c r="J236" t="str">
        <f t="shared" si="20"/>
        <v>OK</v>
      </c>
      <c r="K236" t="str">
        <f t="shared" si="21"/>
        <v>Unique</v>
      </c>
      <c r="L236" t="str">
        <f t="shared" si="22"/>
        <v>OK</v>
      </c>
      <c r="M236" t="str">
        <f t="shared" si="23"/>
        <v>CLEAN</v>
      </c>
      <c r="N236" t="str">
        <f t="shared" si="18"/>
        <v/>
      </c>
    </row>
    <row r="237" spans="1:14" x14ac:dyDescent="0.35">
      <c r="A237" t="s">
        <v>473</v>
      </c>
      <c r="B237" t="s">
        <v>53</v>
      </c>
      <c r="C237" t="s">
        <v>23</v>
      </c>
      <c r="D237">
        <v>1</v>
      </c>
      <c r="E237">
        <v>161229.72</v>
      </c>
      <c r="F237">
        <v>161229.72</v>
      </c>
      <c r="G237" s="1">
        <v>45640</v>
      </c>
      <c r="H237" t="s">
        <v>474</v>
      </c>
      <c r="I237" t="str">
        <f t="shared" si="19"/>
        <v>OK</v>
      </c>
      <c r="J237" t="str">
        <f t="shared" si="20"/>
        <v>OK</v>
      </c>
      <c r="K237" t="str">
        <f t="shared" si="21"/>
        <v>Unique</v>
      </c>
      <c r="L237" t="str">
        <f t="shared" si="22"/>
        <v>OK</v>
      </c>
      <c r="M237" t="str">
        <f t="shared" si="23"/>
        <v>CLEAN</v>
      </c>
      <c r="N237" t="str">
        <f t="shared" si="18"/>
        <v/>
      </c>
    </row>
    <row r="238" spans="1:14" x14ac:dyDescent="0.35">
      <c r="A238" t="s">
        <v>475</v>
      </c>
      <c r="B238" t="s">
        <v>53</v>
      </c>
      <c r="C238" t="s">
        <v>90</v>
      </c>
      <c r="D238">
        <v>51</v>
      </c>
      <c r="E238">
        <v>49778.879999999997</v>
      </c>
      <c r="F238">
        <v>2538722.88</v>
      </c>
      <c r="G238" s="1">
        <v>45483</v>
      </c>
      <c r="H238" t="s">
        <v>476</v>
      </c>
      <c r="I238" t="str">
        <f t="shared" si="19"/>
        <v>OK</v>
      </c>
      <c r="J238" t="str">
        <f t="shared" si="20"/>
        <v>OK</v>
      </c>
      <c r="K238" t="str">
        <f t="shared" si="21"/>
        <v>Unique</v>
      </c>
      <c r="L238" t="str">
        <f t="shared" si="22"/>
        <v>OK</v>
      </c>
      <c r="M238" t="str">
        <f t="shared" si="23"/>
        <v>CLEAN</v>
      </c>
      <c r="N238" t="str">
        <f t="shared" si="18"/>
        <v/>
      </c>
    </row>
    <row r="239" spans="1:14" x14ac:dyDescent="0.35">
      <c r="A239" t="s">
        <v>477</v>
      </c>
      <c r="B239" t="s">
        <v>34</v>
      </c>
      <c r="C239" t="s">
        <v>46</v>
      </c>
      <c r="D239">
        <v>1</v>
      </c>
      <c r="E239">
        <v>256418.56</v>
      </c>
      <c r="F239">
        <v>256418.56</v>
      </c>
      <c r="G239" s="1">
        <v>45339</v>
      </c>
      <c r="H239" t="s">
        <v>478</v>
      </c>
      <c r="I239" t="str">
        <f t="shared" si="19"/>
        <v>OK</v>
      </c>
      <c r="J239" t="str">
        <f t="shared" si="20"/>
        <v>OK</v>
      </c>
      <c r="K239" t="str">
        <f t="shared" si="21"/>
        <v>Unique</v>
      </c>
      <c r="L239" t="str">
        <f t="shared" si="22"/>
        <v>OK</v>
      </c>
      <c r="M239" t="str">
        <f t="shared" si="23"/>
        <v>CLEAN</v>
      </c>
      <c r="N239" t="str">
        <f t="shared" si="18"/>
        <v/>
      </c>
    </row>
    <row r="240" spans="1:14" x14ac:dyDescent="0.35">
      <c r="A240" t="s">
        <v>1050</v>
      </c>
      <c r="B240" t="s">
        <v>76</v>
      </c>
      <c r="C240" t="s">
        <v>27</v>
      </c>
      <c r="D240">
        <v>1</v>
      </c>
      <c r="E240">
        <v>132831.25</v>
      </c>
      <c r="F240">
        <v>132831.25</v>
      </c>
      <c r="G240" s="1">
        <v>45534</v>
      </c>
      <c r="H240" t="s">
        <v>1116</v>
      </c>
      <c r="I240" t="str">
        <f t="shared" si="19"/>
        <v>OK</v>
      </c>
      <c r="J240" t="str">
        <f t="shared" si="20"/>
        <v>OK</v>
      </c>
      <c r="K240" t="str">
        <f t="shared" si="21"/>
        <v>Unique</v>
      </c>
      <c r="L240" t="str">
        <f t="shared" si="22"/>
        <v>OK</v>
      </c>
      <c r="M240" t="str">
        <f t="shared" si="23"/>
        <v>CLEAN</v>
      </c>
      <c r="N240" t="str">
        <f t="shared" si="18"/>
        <v/>
      </c>
    </row>
    <row r="241" spans="1:14" x14ac:dyDescent="0.35">
      <c r="A241" t="s">
        <v>479</v>
      </c>
      <c r="B241" t="s">
        <v>26</v>
      </c>
      <c r="C241" t="s">
        <v>27</v>
      </c>
      <c r="D241">
        <v>1</v>
      </c>
      <c r="E241">
        <v>204248.42</v>
      </c>
      <c r="F241">
        <v>204248.42</v>
      </c>
      <c r="G241" s="1">
        <v>45124</v>
      </c>
      <c r="H241" t="s">
        <v>480</v>
      </c>
      <c r="I241" t="str">
        <f t="shared" si="19"/>
        <v>OK</v>
      </c>
      <c r="J241" t="str">
        <f t="shared" si="20"/>
        <v>OK</v>
      </c>
      <c r="K241" t="str">
        <f t="shared" si="21"/>
        <v>Unique</v>
      </c>
      <c r="L241" t="str">
        <f t="shared" si="22"/>
        <v>OK</v>
      </c>
      <c r="M241" t="str">
        <f t="shared" si="23"/>
        <v>CLEAN</v>
      </c>
      <c r="N241" t="str">
        <f t="shared" si="18"/>
        <v/>
      </c>
    </row>
    <row r="242" spans="1:14" x14ac:dyDescent="0.35">
      <c r="A242" t="s">
        <v>481</v>
      </c>
      <c r="B242" t="s">
        <v>42</v>
      </c>
      <c r="C242" t="s">
        <v>23</v>
      </c>
      <c r="D242">
        <v>1</v>
      </c>
      <c r="E242">
        <v>0</v>
      </c>
      <c r="F242">
        <v>0</v>
      </c>
      <c r="G242" s="1">
        <v>45776</v>
      </c>
      <c r="H242" t="s">
        <v>482</v>
      </c>
      <c r="I242" t="str">
        <f t="shared" si="19"/>
        <v>Check Price</v>
      </c>
      <c r="J242" t="str">
        <f t="shared" si="20"/>
        <v>Zero Sale</v>
      </c>
      <c r="K242" t="str">
        <f t="shared" si="21"/>
        <v>Unique</v>
      </c>
      <c r="L242" t="str">
        <f t="shared" si="22"/>
        <v>OK</v>
      </c>
      <c r="M242" t="str">
        <f t="shared" si="23"/>
        <v>EXCEPTION</v>
      </c>
      <c r="N242" t="str">
        <f t="shared" si="18"/>
        <v>Price Issue, Zero Sale</v>
      </c>
    </row>
    <row r="243" spans="1:14" x14ac:dyDescent="0.35">
      <c r="A243" t="s">
        <v>1051</v>
      </c>
      <c r="B243" t="s">
        <v>85</v>
      </c>
      <c r="C243" t="s">
        <v>46</v>
      </c>
      <c r="D243">
        <v>1</v>
      </c>
      <c r="E243">
        <v>215216.93</v>
      </c>
      <c r="F243">
        <v>215216.93</v>
      </c>
      <c r="G243" s="1">
        <v>45201</v>
      </c>
      <c r="H243" t="s">
        <v>483</v>
      </c>
      <c r="I243" t="str">
        <f t="shared" si="19"/>
        <v>OK</v>
      </c>
      <c r="J243" t="str">
        <f t="shared" si="20"/>
        <v>OK</v>
      </c>
      <c r="K243" t="str">
        <f t="shared" si="21"/>
        <v>Unique</v>
      </c>
      <c r="L243" t="str">
        <f t="shared" si="22"/>
        <v>OK</v>
      </c>
      <c r="M243" t="str">
        <f t="shared" si="23"/>
        <v>CLEAN</v>
      </c>
      <c r="N243" t="str">
        <f t="shared" si="18"/>
        <v/>
      </c>
    </row>
    <row r="244" spans="1:14" x14ac:dyDescent="0.35">
      <c r="A244" t="s">
        <v>484</v>
      </c>
      <c r="B244" t="s">
        <v>16</v>
      </c>
      <c r="C244" t="s">
        <v>12</v>
      </c>
      <c r="D244">
        <v>1</v>
      </c>
      <c r="E244">
        <v>146903.98000000001</v>
      </c>
      <c r="F244">
        <v>146903.98000000001</v>
      </c>
      <c r="G244" s="1">
        <v>45452</v>
      </c>
      <c r="H244" t="s">
        <v>485</v>
      </c>
      <c r="I244" t="str">
        <f t="shared" si="19"/>
        <v>OK</v>
      </c>
      <c r="J244" t="str">
        <f t="shared" si="20"/>
        <v>OK</v>
      </c>
      <c r="K244" t="str">
        <f t="shared" si="21"/>
        <v>Unique</v>
      </c>
      <c r="L244" t="str">
        <f t="shared" si="22"/>
        <v>OK</v>
      </c>
      <c r="M244" t="str">
        <f t="shared" si="23"/>
        <v>CLEAN</v>
      </c>
      <c r="N244" t="str">
        <f t="shared" si="18"/>
        <v/>
      </c>
    </row>
    <row r="245" spans="1:14" x14ac:dyDescent="0.35">
      <c r="A245" t="s">
        <v>486</v>
      </c>
      <c r="B245" t="s">
        <v>76</v>
      </c>
      <c r="C245" t="s">
        <v>27</v>
      </c>
      <c r="D245">
        <v>1</v>
      </c>
      <c r="E245">
        <v>269717.36</v>
      </c>
      <c r="F245">
        <v>269717.36</v>
      </c>
      <c r="G245" s="1">
        <v>45222</v>
      </c>
      <c r="H245" t="s">
        <v>487</v>
      </c>
      <c r="I245" t="str">
        <f t="shared" si="19"/>
        <v>OK</v>
      </c>
      <c r="J245" t="str">
        <f t="shared" si="20"/>
        <v>OK</v>
      </c>
      <c r="K245" t="str">
        <f t="shared" si="21"/>
        <v>Unique</v>
      </c>
      <c r="L245" t="str">
        <f t="shared" si="22"/>
        <v>OK</v>
      </c>
      <c r="M245" t="str">
        <f t="shared" si="23"/>
        <v>CLEAN</v>
      </c>
      <c r="N245" t="str">
        <f t="shared" si="18"/>
        <v/>
      </c>
    </row>
    <row r="246" spans="1:14" x14ac:dyDescent="0.35">
      <c r="A246" t="s">
        <v>488</v>
      </c>
      <c r="B246" t="s">
        <v>20</v>
      </c>
      <c r="C246" t="s">
        <v>12</v>
      </c>
      <c r="D246">
        <v>1</v>
      </c>
      <c r="E246">
        <v>133922.07</v>
      </c>
      <c r="F246">
        <v>133922.07</v>
      </c>
      <c r="G246" s="1">
        <v>45803</v>
      </c>
      <c r="H246" t="s">
        <v>489</v>
      </c>
      <c r="I246" t="str">
        <f t="shared" si="19"/>
        <v>OK</v>
      </c>
      <c r="J246" t="str">
        <f t="shared" si="20"/>
        <v>OK</v>
      </c>
      <c r="K246" t="str">
        <f t="shared" si="21"/>
        <v>Unique</v>
      </c>
      <c r="L246" t="str">
        <f t="shared" si="22"/>
        <v>OK</v>
      </c>
      <c r="M246" t="str">
        <f t="shared" si="23"/>
        <v>CLEAN</v>
      </c>
      <c r="N246" t="str">
        <f t="shared" si="18"/>
        <v/>
      </c>
    </row>
    <row r="247" spans="1:14" x14ac:dyDescent="0.35">
      <c r="A247" t="s">
        <v>490</v>
      </c>
      <c r="B247" t="s">
        <v>37</v>
      </c>
      <c r="C247" t="s">
        <v>46</v>
      </c>
      <c r="D247">
        <v>1</v>
      </c>
      <c r="E247">
        <v>17162.919999999998</v>
      </c>
      <c r="F247">
        <v>17162.919999999998</v>
      </c>
      <c r="G247" s="1">
        <v>45323</v>
      </c>
      <c r="H247" t="s">
        <v>491</v>
      </c>
      <c r="I247" t="str">
        <f t="shared" si="19"/>
        <v>OK</v>
      </c>
      <c r="J247" t="str">
        <f t="shared" si="20"/>
        <v>OK</v>
      </c>
      <c r="K247" t="str">
        <f t="shared" si="21"/>
        <v>Unique</v>
      </c>
      <c r="L247" t="str">
        <f t="shared" si="22"/>
        <v>OK</v>
      </c>
      <c r="M247" t="str">
        <f t="shared" si="23"/>
        <v>CLEAN</v>
      </c>
      <c r="N247" t="str">
        <f t="shared" si="18"/>
        <v/>
      </c>
    </row>
    <row r="248" spans="1:14" x14ac:dyDescent="0.35">
      <c r="A248" t="s">
        <v>492</v>
      </c>
      <c r="B248" t="s">
        <v>76</v>
      </c>
      <c r="C248" t="s">
        <v>12</v>
      </c>
      <c r="D248">
        <v>1</v>
      </c>
      <c r="E248">
        <v>40017.33</v>
      </c>
      <c r="F248">
        <v>40017.33</v>
      </c>
      <c r="G248" s="1">
        <v>45683</v>
      </c>
      <c r="H248" t="s">
        <v>493</v>
      </c>
      <c r="I248" t="str">
        <f t="shared" si="19"/>
        <v>OK</v>
      </c>
      <c r="J248" t="str">
        <f t="shared" si="20"/>
        <v>OK</v>
      </c>
      <c r="K248" t="str">
        <f t="shared" si="21"/>
        <v>Unique</v>
      </c>
      <c r="L248" t="str">
        <f t="shared" si="22"/>
        <v>OK</v>
      </c>
      <c r="M248" t="str">
        <f t="shared" si="23"/>
        <v>CLEAN</v>
      </c>
      <c r="N248" t="str">
        <f t="shared" si="18"/>
        <v/>
      </c>
    </row>
    <row r="249" spans="1:14" x14ac:dyDescent="0.35">
      <c r="A249" t="s">
        <v>1047</v>
      </c>
      <c r="B249" t="s">
        <v>34</v>
      </c>
      <c r="C249" t="s">
        <v>90</v>
      </c>
      <c r="D249">
        <v>1</v>
      </c>
      <c r="E249">
        <v>124919.66</v>
      </c>
      <c r="F249">
        <v>124919.66</v>
      </c>
      <c r="G249" s="1">
        <v>45402</v>
      </c>
      <c r="H249" t="s">
        <v>494</v>
      </c>
      <c r="I249" t="str">
        <f t="shared" si="19"/>
        <v>OK</v>
      </c>
      <c r="J249" t="str">
        <f t="shared" si="20"/>
        <v>OK</v>
      </c>
      <c r="K249" t="str">
        <f t="shared" si="21"/>
        <v>Unique</v>
      </c>
      <c r="L249" t="str">
        <f t="shared" si="22"/>
        <v>OK</v>
      </c>
      <c r="M249" t="str">
        <f t="shared" si="23"/>
        <v>CLEAN</v>
      </c>
      <c r="N249" t="str">
        <f t="shared" si="18"/>
        <v/>
      </c>
    </row>
    <row r="250" spans="1:14" x14ac:dyDescent="0.35">
      <c r="A250" t="s">
        <v>495</v>
      </c>
      <c r="B250" t="s">
        <v>31</v>
      </c>
      <c r="C250" t="s">
        <v>70</v>
      </c>
      <c r="D250">
        <v>40</v>
      </c>
      <c r="E250">
        <v>169391.4</v>
      </c>
      <c r="F250">
        <v>6775656</v>
      </c>
      <c r="G250" s="1">
        <v>45711</v>
      </c>
      <c r="H250" t="s">
        <v>496</v>
      </c>
      <c r="I250" t="str">
        <f t="shared" si="19"/>
        <v>OK</v>
      </c>
      <c r="J250" t="str">
        <f t="shared" si="20"/>
        <v>OK</v>
      </c>
      <c r="K250" t="str">
        <f t="shared" si="21"/>
        <v>Unique</v>
      </c>
      <c r="L250" t="str">
        <f t="shared" si="22"/>
        <v>OK</v>
      </c>
      <c r="M250" t="str">
        <f t="shared" si="23"/>
        <v>CLEAN</v>
      </c>
      <c r="N250" t="str">
        <f t="shared" si="18"/>
        <v/>
      </c>
    </row>
    <row r="251" spans="1:14" x14ac:dyDescent="0.35">
      <c r="A251" t="s">
        <v>497</v>
      </c>
      <c r="B251" t="s">
        <v>45</v>
      </c>
      <c r="C251" t="s">
        <v>17</v>
      </c>
      <c r="D251">
        <v>1</v>
      </c>
      <c r="E251">
        <v>167859.76</v>
      </c>
      <c r="F251">
        <v>167859.76</v>
      </c>
      <c r="G251" s="1">
        <v>45431</v>
      </c>
      <c r="H251" t="s">
        <v>498</v>
      </c>
      <c r="I251" t="str">
        <f t="shared" si="19"/>
        <v>OK</v>
      </c>
      <c r="J251" t="str">
        <f t="shared" si="20"/>
        <v>OK</v>
      </c>
      <c r="K251" t="str">
        <f t="shared" si="21"/>
        <v>Unique</v>
      </c>
      <c r="L251" t="str">
        <f t="shared" si="22"/>
        <v>OK</v>
      </c>
      <c r="M251" t="str">
        <f t="shared" si="23"/>
        <v>CLEAN</v>
      </c>
      <c r="N251" t="str">
        <f t="shared" si="18"/>
        <v/>
      </c>
    </row>
    <row r="252" spans="1:14" x14ac:dyDescent="0.35">
      <c r="A252" t="s">
        <v>499</v>
      </c>
      <c r="B252" t="s">
        <v>34</v>
      </c>
      <c r="C252" t="s">
        <v>17</v>
      </c>
      <c r="D252">
        <v>1</v>
      </c>
      <c r="E252">
        <v>0</v>
      </c>
      <c r="F252">
        <v>0</v>
      </c>
      <c r="G252" s="1">
        <v>45402</v>
      </c>
      <c r="H252" t="s">
        <v>500</v>
      </c>
      <c r="I252" t="str">
        <f t="shared" si="19"/>
        <v>Check Price</v>
      </c>
      <c r="J252" t="str">
        <f t="shared" si="20"/>
        <v>Zero Sale</v>
      </c>
      <c r="K252" t="str">
        <f t="shared" si="21"/>
        <v>Unique</v>
      </c>
      <c r="L252" t="str">
        <f t="shared" si="22"/>
        <v>OK</v>
      </c>
      <c r="M252" t="str">
        <f t="shared" si="23"/>
        <v>EXCEPTION</v>
      </c>
      <c r="N252" t="str">
        <f t="shared" si="18"/>
        <v>Price Issue, Zero Sale</v>
      </c>
    </row>
    <row r="253" spans="1:14" x14ac:dyDescent="0.35">
      <c r="A253" t="s">
        <v>501</v>
      </c>
      <c r="B253" t="s">
        <v>11</v>
      </c>
      <c r="C253" t="s">
        <v>23</v>
      </c>
      <c r="D253">
        <v>25</v>
      </c>
      <c r="E253">
        <v>201993.93</v>
      </c>
      <c r="F253">
        <v>5049848.25</v>
      </c>
      <c r="G253" s="1">
        <v>45153</v>
      </c>
      <c r="H253" t="s">
        <v>502</v>
      </c>
      <c r="I253" t="str">
        <f t="shared" si="19"/>
        <v>OK</v>
      </c>
      <c r="J253" t="str">
        <f t="shared" si="20"/>
        <v>OK</v>
      </c>
      <c r="K253" t="str">
        <f t="shared" si="21"/>
        <v>Unique</v>
      </c>
      <c r="L253" t="str">
        <f t="shared" si="22"/>
        <v>OK</v>
      </c>
      <c r="M253" t="str">
        <f t="shared" si="23"/>
        <v>CLEAN</v>
      </c>
      <c r="N253" t="str">
        <f t="shared" si="18"/>
        <v/>
      </c>
    </row>
    <row r="254" spans="1:14" x14ac:dyDescent="0.35">
      <c r="A254" t="s">
        <v>503</v>
      </c>
      <c r="B254" t="s">
        <v>37</v>
      </c>
      <c r="C254" t="s">
        <v>90</v>
      </c>
      <c r="D254">
        <v>18</v>
      </c>
      <c r="E254">
        <v>92796.78</v>
      </c>
      <c r="F254">
        <v>1670342.04</v>
      </c>
      <c r="G254" s="1">
        <v>45429</v>
      </c>
      <c r="H254" t="s">
        <v>1117</v>
      </c>
      <c r="I254" t="str">
        <f t="shared" si="19"/>
        <v>OK</v>
      </c>
      <c r="J254" t="str">
        <f t="shared" si="20"/>
        <v>OK</v>
      </c>
      <c r="K254" t="str">
        <f t="shared" si="21"/>
        <v>Unique</v>
      </c>
      <c r="L254" t="str">
        <f t="shared" si="22"/>
        <v>OK</v>
      </c>
      <c r="M254" t="str">
        <f t="shared" si="23"/>
        <v>CLEAN</v>
      </c>
      <c r="N254" t="str">
        <f t="shared" si="18"/>
        <v/>
      </c>
    </row>
    <row r="255" spans="1:14" x14ac:dyDescent="0.35">
      <c r="A255" t="s">
        <v>504</v>
      </c>
      <c r="B255" t="s">
        <v>20</v>
      </c>
      <c r="C255" t="s">
        <v>27</v>
      </c>
      <c r="D255">
        <v>1</v>
      </c>
      <c r="E255">
        <v>7020.25</v>
      </c>
      <c r="F255">
        <v>7020.25</v>
      </c>
      <c r="G255" s="1">
        <v>45157</v>
      </c>
      <c r="H255" t="s">
        <v>505</v>
      </c>
      <c r="I255" t="str">
        <f t="shared" si="19"/>
        <v>OK</v>
      </c>
      <c r="J255" t="str">
        <f t="shared" si="20"/>
        <v>OK</v>
      </c>
      <c r="K255" t="str">
        <f t="shared" si="21"/>
        <v>Unique</v>
      </c>
      <c r="L255" t="str">
        <f t="shared" si="22"/>
        <v>OK</v>
      </c>
      <c r="M255" t="str">
        <f t="shared" si="23"/>
        <v>CLEAN</v>
      </c>
      <c r="N255" t="str">
        <f t="shared" si="18"/>
        <v/>
      </c>
    </row>
    <row r="256" spans="1:14" x14ac:dyDescent="0.35">
      <c r="A256" t="s">
        <v>506</v>
      </c>
      <c r="B256" t="s">
        <v>85</v>
      </c>
      <c r="C256" t="s">
        <v>23</v>
      </c>
      <c r="D256">
        <v>1</v>
      </c>
      <c r="E256">
        <v>76709.94</v>
      </c>
      <c r="F256">
        <v>76709.94</v>
      </c>
      <c r="G256" s="1">
        <v>45560</v>
      </c>
      <c r="H256" t="s">
        <v>507</v>
      </c>
      <c r="I256" t="str">
        <f t="shared" si="19"/>
        <v>OK</v>
      </c>
      <c r="J256" t="str">
        <f t="shared" si="20"/>
        <v>OK</v>
      </c>
      <c r="K256" t="str">
        <f t="shared" si="21"/>
        <v>Unique</v>
      </c>
      <c r="L256" t="str">
        <f t="shared" si="22"/>
        <v>OK</v>
      </c>
      <c r="M256" t="str">
        <f t="shared" si="23"/>
        <v>CLEAN</v>
      </c>
      <c r="N256" t="str">
        <f t="shared" si="18"/>
        <v/>
      </c>
    </row>
    <row r="257" spans="1:14" x14ac:dyDescent="0.35">
      <c r="A257" t="s">
        <v>508</v>
      </c>
      <c r="B257" t="s">
        <v>42</v>
      </c>
      <c r="C257" t="s">
        <v>23</v>
      </c>
      <c r="D257">
        <v>1</v>
      </c>
      <c r="E257">
        <v>1403.13</v>
      </c>
      <c r="F257">
        <v>1403.13</v>
      </c>
      <c r="G257" s="1">
        <v>45554</v>
      </c>
      <c r="H257" t="s">
        <v>509</v>
      </c>
      <c r="I257" t="str">
        <f t="shared" si="19"/>
        <v>OK</v>
      </c>
      <c r="J257" t="str">
        <f t="shared" si="20"/>
        <v>OK</v>
      </c>
      <c r="K257" t="str">
        <f t="shared" si="21"/>
        <v>Unique</v>
      </c>
      <c r="L257" t="str">
        <f t="shared" si="22"/>
        <v>OK</v>
      </c>
      <c r="M257" t="str">
        <f t="shared" si="23"/>
        <v>CLEAN</v>
      </c>
      <c r="N257" t="str">
        <f t="shared" si="18"/>
        <v/>
      </c>
    </row>
    <row r="258" spans="1:14" x14ac:dyDescent="0.35">
      <c r="A258" t="s">
        <v>510</v>
      </c>
      <c r="B258" t="s">
        <v>213</v>
      </c>
      <c r="C258" t="s">
        <v>17</v>
      </c>
      <c r="D258">
        <v>1</v>
      </c>
      <c r="E258">
        <v>65761.440000000002</v>
      </c>
      <c r="F258">
        <v>65761.440000000002</v>
      </c>
      <c r="G258" s="1">
        <v>45269</v>
      </c>
      <c r="H258" t="s">
        <v>511</v>
      </c>
      <c r="I258" t="str">
        <f t="shared" si="19"/>
        <v>OK</v>
      </c>
      <c r="J258" t="str">
        <f t="shared" si="20"/>
        <v>OK</v>
      </c>
      <c r="K258" t="str">
        <f t="shared" si="21"/>
        <v>Unique</v>
      </c>
      <c r="L258" t="str">
        <f t="shared" si="22"/>
        <v>OK</v>
      </c>
      <c r="M258" t="str">
        <f t="shared" si="23"/>
        <v>CLEAN</v>
      </c>
      <c r="N258" t="str">
        <f t="shared" ref="N258:N321" si="24">_xlfn.TEXTJOIN(", ",TRUE,
IF(I258&lt;&gt;"OK","Price Issue",""),
IF(J258&lt;&gt;"OK","Zero Sale",""),
IF(K258&lt;&gt;"Unique","Duplicate Order",""),
IF(L258&lt;&gt;"OK","Missing Date","")
)</f>
        <v/>
      </c>
    </row>
    <row r="259" spans="1:14" x14ac:dyDescent="0.35">
      <c r="A259" t="s">
        <v>512</v>
      </c>
      <c r="B259" t="s">
        <v>213</v>
      </c>
      <c r="C259" t="s">
        <v>46</v>
      </c>
      <c r="D259">
        <v>1</v>
      </c>
      <c r="E259">
        <v>22372.34</v>
      </c>
      <c r="F259">
        <v>22372.34</v>
      </c>
      <c r="G259" s="1">
        <v>45399</v>
      </c>
      <c r="H259" t="s">
        <v>513</v>
      </c>
      <c r="I259" t="str">
        <f t="shared" ref="I259:I322" si="25">IF(E259=0,"Check Price","OK")</f>
        <v>OK</v>
      </c>
      <c r="J259" t="str">
        <f t="shared" ref="J259:J322" si="26">IF(F259=0,"Zero Sale","OK")</f>
        <v>OK</v>
      </c>
      <c r="K259" t="str">
        <f t="shared" ref="K259:K322" si="27">IF(COUNTIF($H:$H,H259)&gt;1,"Duplicate","Unique")</f>
        <v>Unique</v>
      </c>
      <c r="L259" t="str">
        <f t="shared" ref="L259:L322" si="28">IF(G259="","Missing Date","OK")</f>
        <v>OK</v>
      </c>
      <c r="M259" t="str">
        <f t="shared" ref="M259:M322" si="29">IF(COUNTIF(I259:J259,"&lt;&gt;OK")&gt;0,"EXCEPTION","CLEAN")</f>
        <v>CLEAN</v>
      </c>
      <c r="N259" t="str">
        <f t="shared" si="24"/>
        <v/>
      </c>
    </row>
    <row r="260" spans="1:14" x14ac:dyDescent="0.35">
      <c r="A260" t="s">
        <v>514</v>
      </c>
      <c r="B260" t="s">
        <v>53</v>
      </c>
      <c r="C260" t="s">
        <v>27</v>
      </c>
      <c r="D260">
        <v>1</v>
      </c>
      <c r="E260">
        <v>127397.37</v>
      </c>
      <c r="F260">
        <v>127397.37</v>
      </c>
      <c r="G260" s="1">
        <v>45547</v>
      </c>
      <c r="H260" t="s">
        <v>515</v>
      </c>
      <c r="I260" t="str">
        <f t="shared" si="25"/>
        <v>OK</v>
      </c>
      <c r="J260" t="str">
        <f t="shared" si="26"/>
        <v>OK</v>
      </c>
      <c r="K260" t="str">
        <f t="shared" si="27"/>
        <v>Unique</v>
      </c>
      <c r="L260" t="str">
        <f t="shared" si="28"/>
        <v>OK</v>
      </c>
      <c r="M260" t="str">
        <f t="shared" si="29"/>
        <v>CLEAN</v>
      </c>
      <c r="N260" t="str">
        <f t="shared" si="24"/>
        <v/>
      </c>
    </row>
    <row r="261" spans="1:14" x14ac:dyDescent="0.35">
      <c r="A261" t="s">
        <v>516</v>
      </c>
      <c r="B261" t="s">
        <v>105</v>
      </c>
      <c r="C261" t="s">
        <v>23</v>
      </c>
      <c r="D261">
        <v>1</v>
      </c>
      <c r="E261">
        <v>210265.27</v>
      </c>
      <c r="F261">
        <v>210265.27</v>
      </c>
      <c r="G261" s="1">
        <v>45342</v>
      </c>
      <c r="H261" t="s">
        <v>517</v>
      </c>
      <c r="I261" t="str">
        <f t="shared" si="25"/>
        <v>OK</v>
      </c>
      <c r="J261" t="str">
        <f t="shared" si="26"/>
        <v>OK</v>
      </c>
      <c r="K261" t="str">
        <f t="shared" si="27"/>
        <v>Unique</v>
      </c>
      <c r="L261" t="str">
        <f t="shared" si="28"/>
        <v>OK</v>
      </c>
      <c r="M261" t="str">
        <f t="shared" si="29"/>
        <v>CLEAN</v>
      </c>
      <c r="N261" t="str">
        <f t="shared" si="24"/>
        <v/>
      </c>
    </row>
    <row r="262" spans="1:14" x14ac:dyDescent="0.35">
      <c r="A262" t="s">
        <v>1047</v>
      </c>
      <c r="B262" t="s">
        <v>45</v>
      </c>
      <c r="C262" t="s">
        <v>27</v>
      </c>
      <c r="D262">
        <v>49</v>
      </c>
      <c r="E262">
        <v>0</v>
      </c>
      <c r="F262">
        <v>0</v>
      </c>
      <c r="G262" s="1">
        <v>45175</v>
      </c>
      <c r="H262" t="s">
        <v>518</v>
      </c>
      <c r="I262" t="str">
        <f t="shared" si="25"/>
        <v>Check Price</v>
      </c>
      <c r="J262" t="str">
        <f t="shared" si="26"/>
        <v>Zero Sale</v>
      </c>
      <c r="K262" t="str">
        <f t="shared" si="27"/>
        <v>Unique</v>
      </c>
      <c r="L262" t="str">
        <f t="shared" si="28"/>
        <v>OK</v>
      </c>
      <c r="M262" t="str">
        <f t="shared" si="29"/>
        <v>EXCEPTION</v>
      </c>
      <c r="N262" t="str">
        <f t="shared" si="24"/>
        <v>Price Issue, Zero Sale</v>
      </c>
    </row>
    <row r="263" spans="1:14" x14ac:dyDescent="0.35">
      <c r="A263" t="s">
        <v>519</v>
      </c>
      <c r="B263" t="s">
        <v>85</v>
      </c>
      <c r="C263" t="s">
        <v>70</v>
      </c>
      <c r="D263">
        <v>21</v>
      </c>
      <c r="E263">
        <v>162578.47</v>
      </c>
      <c r="F263">
        <v>3414147.87</v>
      </c>
      <c r="G263" s="1">
        <v>45418</v>
      </c>
      <c r="H263" t="s">
        <v>520</v>
      </c>
      <c r="I263" t="str">
        <f t="shared" si="25"/>
        <v>OK</v>
      </c>
      <c r="J263" t="str">
        <f t="shared" si="26"/>
        <v>OK</v>
      </c>
      <c r="K263" t="str">
        <f t="shared" si="27"/>
        <v>Unique</v>
      </c>
      <c r="L263" t="str">
        <f t="shared" si="28"/>
        <v>OK</v>
      </c>
      <c r="M263" t="str">
        <f t="shared" si="29"/>
        <v>CLEAN</v>
      </c>
      <c r="N263" t="str">
        <f t="shared" si="24"/>
        <v/>
      </c>
    </row>
    <row r="264" spans="1:14" x14ac:dyDescent="0.35">
      <c r="A264" t="s">
        <v>521</v>
      </c>
      <c r="B264" t="s">
        <v>105</v>
      </c>
      <c r="C264" t="s">
        <v>46</v>
      </c>
      <c r="D264">
        <v>1</v>
      </c>
      <c r="E264">
        <v>18546.560000000001</v>
      </c>
      <c r="F264">
        <v>18546.560000000001</v>
      </c>
      <c r="G264" s="1">
        <v>45509</v>
      </c>
      <c r="H264" t="s">
        <v>522</v>
      </c>
      <c r="I264" t="str">
        <f t="shared" si="25"/>
        <v>OK</v>
      </c>
      <c r="J264" t="str">
        <f t="shared" si="26"/>
        <v>OK</v>
      </c>
      <c r="K264" t="str">
        <f t="shared" si="27"/>
        <v>Unique</v>
      </c>
      <c r="L264" t="str">
        <f t="shared" si="28"/>
        <v>OK</v>
      </c>
      <c r="M264" t="str">
        <f t="shared" si="29"/>
        <v>CLEAN</v>
      </c>
      <c r="N264" t="str">
        <f t="shared" si="24"/>
        <v/>
      </c>
    </row>
    <row r="265" spans="1:14" x14ac:dyDescent="0.35">
      <c r="A265" t="s">
        <v>523</v>
      </c>
      <c r="B265" t="s">
        <v>11</v>
      </c>
      <c r="C265" t="s">
        <v>27</v>
      </c>
      <c r="D265">
        <v>1</v>
      </c>
      <c r="E265">
        <v>268318.42</v>
      </c>
      <c r="F265">
        <v>268318.42</v>
      </c>
      <c r="G265" s="1">
        <v>45467</v>
      </c>
      <c r="H265" t="s">
        <v>524</v>
      </c>
      <c r="I265" t="str">
        <f t="shared" si="25"/>
        <v>OK</v>
      </c>
      <c r="J265" t="str">
        <f t="shared" si="26"/>
        <v>OK</v>
      </c>
      <c r="K265" t="str">
        <f t="shared" si="27"/>
        <v>Unique</v>
      </c>
      <c r="L265" t="str">
        <f t="shared" si="28"/>
        <v>OK</v>
      </c>
      <c r="M265" t="str">
        <f t="shared" si="29"/>
        <v>CLEAN</v>
      </c>
      <c r="N265" t="str">
        <f t="shared" si="24"/>
        <v/>
      </c>
    </row>
    <row r="266" spans="1:14" x14ac:dyDescent="0.35">
      <c r="A266" t="s">
        <v>1052</v>
      </c>
      <c r="B266" t="s">
        <v>105</v>
      </c>
      <c r="C266" t="s">
        <v>12</v>
      </c>
      <c r="D266">
        <v>57</v>
      </c>
      <c r="E266">
        <v>295848.11</v>
      </c>
      <c r="F266">
        <v>16863342.27</v>
      </c>
      <c r="G266" s="1">
        <v>45711</v>
      </c>
      <c r="H266" t="s">
        <v>525</v>
      </c>
      <c r="I266" t="str">
        <f t="shared" si="25"/>
        <v>OK</v>
      </c>
      <c r="J266" t="str">
        <f t="shared" si="26"/>
        <v>OK</v>
      </c>
      <c r="K266" t="str">
        <f t="shared" si="27"/>
        <v>Unique</v>
      </c>
      <c r="L266" t="str">
        <f t="shared" si="28"/>
        <v>OK</v>
      </c>
      <c r="M266" t="str">
        <f t="shared" si="29"/>
        <v>CLEAN</v>
      </c>
      <c r="N266" t="str">
        <f t="shared" si="24"/>
        <v/>
      </c>
    </row>
    <row r="267" spans="1:14" x14ac:dyDescent="0.35">
      <c r="A267" t="s">
        <v>526</v>
      </c>
      <c r="B267" t="s">
        <v>16</v>
      </c>
      <c r="C267" t="s">
        <v>23</v>
      </c>
      <c r="D267">
        <v>1</v>
      </c>
      <c r="E267">
        <v>141885.32</v>
      </c>
      <c r="F267">
        <v>141885.32</v>
      </c>
      <c r="G267" s="1">
        <v>45545</v>
      </c>
      <c r="H267" t="s">
        <v>527</v>
      </c>
      <c r="I267" t="str">
        <f t="shared" si="25"/>
        <v>OK</v>
      </c>
      <c r="J267" t="str">
        <f t="shared" si="26"/>
        <v>OK</v>
      </c>
      <c r="K267" t="str">
        <f t="shared" si="27"/>
        <v>Unique</v>
      </c>
      <c r="L267" t="str">
        <f t="shared" si="28"/>
        <v>OK</v>
      </c>
      <c r="M267" t="str">
        <f t="shared" si="29"/>
        <v>CLEAN</v>
      </c>
      <c r="N267" t="str">
        <f t="shared" si="24"/>
        <v/>
      </c>
    </row>
    <row r="268" spans="1:14" x14ac:dyDescent="0.35">
      <c r="A268" t="s">
        <v>528</v>
      </c>
      <c r="B268" t="s">
        <v>76</v>
      </c>
      <c r="C268" t="s">
        <v>12</v>
      </c>
      <c r="D268">
        <v>1</v>
      </c>
      <c r="E268">
        <v>86483.67</v>
      </c>
      <c r="F268">
        <v>86483.67</v>
      </c>
      <c r="G268" s="1">
        <v>45335</v>
      </c>
      <c r="H268" t="s">
        <v>1118</v>
      </c>
      <c r="I268" t="str">
        <f t="shared" si="25"/>
        <v>OK</v>
      </c>
      <c r="J268" t="str">
        <f t="shared" si="26"/>
        <v>OK</v>
      </c>
      <c r="K268" t="str">
        <f t="shared" si="27"/>
        <v>Unique</v>
      </c>
      <c r="L268" t="str">
        <f t="shared" si="28"/>
        <v>OK</v>
      </c>
      <c r="M268" t="str">
        <f t="shared" si="29"/>
        <v>CLEAN</v>
      </c>
      <c r="N268" t="str">
        <f t="shared" si="24"/>
        <v/>
      </c>
    </row>
    <row r="269" spans="1:14" x14ac:dyDescent="0.35">
      <c r="A269" t="s">
        <v>529</v>
      </c>
      <c r="B269" t="s">
        <v>131</v>
      </c>
      <c r="C269" t="s">
        <v>46</v>
      </c>
      <c r="D269">
        <v>1</v>
      </c>
      <c r="E269">
        <v>54404.41</v>
      </c>
      <c r="F269">
        <v>54404.41</v>
      </c>
      <c r="G269" s="1">
        <v>45759</v>
      </c>
      <c r="H269" s="2" t="s">
        <v>530</v>
      </c>
      <c r="I269" t="str">
        <f t="shared" si="25"/>
        <v>OK</v>
      </c>
      <c r="J269" t="str">
        <f t="shared" si="26"/>
        <v>OK</v>
      </c>
      <c r="K269" t="str">
        <f t="shared" si="27"/>
        <v>Unique</v>
      </c>
      <c r="L269" t="str">
        <f t="shared" si="28"/>
        <v>OK</v>
      </c>
      <c r="M269" t="str">
        <f t="shared" si="29"/>
        <v>CLEAN</v>
      </c>
      <c r="N269" t="str">
        <f t="shared" si="24"/>
        <v/>
      </c>
    </row>
    <row r="270" spans="1:14" x14ac:dyDescent="0.35">
      <c r="A270" t="s">
        <v>531</v>
      </c>
      <c r="B270" t="s">
        <v>42</v>
      </c>
      <c r="C270" t="s">
        <v>90</v>
      </c>
      <c r="D270">
        <v>1</v>
      </c>
      <c r="E270">
        <v>41060.949999999997</v>
      </c>
      <c r="F270">
        <v>41060.949999999997</v>
      </c>
      <c r="G270" s="1">
        <v>45602</v>
      </c>
      <c r="H270" t="s">
        <v>532</v>
      </c>
      <c r="I270" t="str">
        <f t="shared" si="25"/>
        <v>OK</v>
      </c>
      <c r="J270" t="str">
        <f t="shared" si="26"/>
        <v>OK</v>
      </c>
      <c r="K270" t="str">
        <f t="shared" si="27"/>
        <v>Unique</v>
      </c>
      <c r="L270" t="str">
        <f t="shared" si="28"/>
        <v>OK</v>
      </c>
      <c r="M270" t="str">
        <f t="shared" si="29"/>
        <v>CLEAN</v>
      </c>
      <c r="N270" t="str">
        <f t="shared" si="24"/>
        <v/>
      </c>
    </row>
    <row r="271" spans="1:14" x14ac:dyDescent="0.35">
      <c r="A271" t="s">
        <v>533</v>
      </c>
      <c r="B271" t="s">
        <v>34</v>
      </c>
      <c r="C271" t="s">
        <v>12</v>
      </c>
      <c r="D271">
        <v>1</v>
      </c>
      <c r="E271">
        <v>192636.74</v>
      </c>
      <c r="F271">
        <v>192636.74</v>
      </c>
      <c r="G271" s="1">
        <v>45646</v>
      </c>
      <c r="H271" t="s">
        <v>534</v>
      </c>
      <c r="I271" t="str">
        <f t="shared" si="25"/>
        <v>OK</v>
      </c>
      <c r="J271" t="str">
        <f t="shared" si="26"/>
        <v>OK</v>
      </c>
      <c r="K271" t="str">
        <f t="shared" si="27"/>
        <v>Unique</v>
      </c>
      <c r="L271" t="str">
        <f t="shared" si="28"/>
        <v>OK</v>
      </c>
      <c r="M271" t="str">
        <f t="shared" si="29"/>
        <v>CLEAN</v>
      </c>
      <c r="N271" t="str">
        <f t="shared" si="24"/>
        <v/>
      </c>
    </row>
    <row r="272" spans="1:14" x14ac:dyDescent="0.35">
      <c r="A272" t="s">
        <v>535</v>
      </c>
      <c r="B272" t="s">
        <v>213</v>
      </c>
      <c r="C272" t="s">
        <v>23</v>
      </c>
      <c r="D272">
        <v>58</v>
      </c>
      <c r="E272">
        <v>0</v>
      </c>
      <c r="F272">
        <v>0</v>
      </c>
      <c r="G272" s="1">
        <v>45592</v>
      </c>
      <c r="H272" t="s">
        <v>536</v>
      </c>
      <c r="I272" t="str">
        <f t="shared" si="25"/>
        <v>Check Price</v>
      </c>
      <c r="J272" t="str">
        <f t="shared" si="26"/>
        <v>Zero Sale</v>
      </c>
      <c r="K272" t="str">
        <f t="shared" si="27"/>
        <v>Unique</v>
      </c>
      <c r="L272" t="str">
        <f t="shared" si="28"/>
        <v>OK</v>
      </c>
      <c r="M272" t="str">
        <f t="shared" si="29"/>
        <v>EXCEPTION</v>
      </c>
      <c r="N272" t="str">
        <f t="shared" si="24"/>
        <v>Price Issue, Zero Sale</v>
      </c>
    </row>
    <row r="273" spans="1:14" x14ac:dyDescent="0.35">
      <c r="A273" t="s">
        <v>537</v>
      </c>
      <c r="B273" t="s">
        <v>26</v>
      </c>
      <c r="C273" t="s">
        <v>23</v>
      </c>
      <c r="D273">
        <v>69</v>
      </c>
      <c r="E273">
        <v>218922.21</v>
      </c>
      <c r="F273">
        <v>15105632.49</v>
      </c>
      <c r="G273" s="1">
        <v>45210</v>
      </c>
      <c r="H273" t="s">
        <v>538</v>
      </c>
      <c r="I273" t="str">
        <f t="shared" si="25"/>
        <v>OK</v>
      </c>
      <c r="J273" t="str">
        <f t="shared" si="26"/>
        <v>OK</v>
      </c>
      <c r="K273" t="str">
        <f t="shared" si="27"/>
        <v>Unique</v>
      </c>
      <c r="L273" t="str">
        <f t="shared" si="28"/>
        <v>OK</v>
      </c>
      <c r="M273" t="str">
        <f t="shared" si="29"/>
        <v>CLEAN</v>
      </c>
      <c r="N273" t="str">
        <f t="shared" si="24"/>
        <v/>
      </c>
    </row>
    <row r="274" spans="1:14" x14ac:dyDescent="0.35">
      <c r="A274" t="s">
        <v>539</v>
      </c>
      <c r="B274" t="s">
        <v>53</v>
      </c>
      <c r="C274" t="s">
        <v>17</v>
      </c>
      <c r="D274">
        <v>1</v>
      </c>
      <c r="E274">
        <v>289152.88</v>
      </c>
      <c r="F274">
        <v>289152.88</v>
      </c>
      <c r="G274" s="1">
        <v>45217</v>
      </c>
      <c r="H274" t="s">
        <v>540</v>
      </c>
      <c r="I274" t="str">
        <f t="shared" si="25"/>
        <v>OK</v>
      </c>
      <c r="J274" t="str">
        <f t="shared" si="26"/>
        <v>OK</v>
      </c>
      <c r="K274" t="str">
        <f t="shared" si="27"/>
        <v>Unique</v>
      </c>
      <c r="L274" t="str">
        <f t="shared" si="28"/>
        <v>OK</v>
      </c>
      <c r="M274" t="str">
        <f t="shared" si="29"/>
        <v>CLEAN</v>
      </c>
      <c r="N274" t="str">
        <f t="shared" si="24"/>
        <v/>
      </c>
    </row>
    <row r="275" spans="1:14" x14ac:dyDescent="0.35">
      <c r="A275" t="s">
        <v>1047</v>
      </c>
      <c r="B275" t="s">
        <v>131</v>
      </c>
      <c r="C275" t="s">
        <v>46</v>
      </c>
      <c r="D275">
        <v>1</v>
      </c>
      <c r="E275">
        <v>112651.05</v>
      </c>
      <c r="F275">
        <v>112651.05</v>
      </c>
      <c r="G275" s="1">
        <v>45193</v>
      </c>
      <c r="H275" t="s">
        <v>541</v>
      </c>
      <c r="I275" t="str">
        <f t="shared" si="25"/>
        <v>OK</v>
      </c>
      <c r="J275" t="str">
        <f t="shared" si="26"/>
        <v>OK</v>
      </c>
      <c r="K275" t="str">
        <f t="shared" si="27"/>
        <v>Unique</v>
      </c>
      <c r="L275" t="str">
        <f t="shared" si="28"/>
        <v>OK</v>
      </c>
      <c r="M275" t="str">
        <f t="shared" si="29"/>
        <v>CLEAN</v>
      </c>
      <c r="N275" t="str">
        <f t="shared" si="24"/>
        <v/>
      </c>
    </row>
    <row r="276" spans="1:14" x14ac:dyDescent="0.35">
      <c r="A276" t="s">
        <v>542</v>
      </c>
      <c r="B276" t="s">
        <v>53</v>
      </c>
      <c r="C276" t="s">
        <v>17</v>
      </c>
      <c r="D276">
        <v>1</v>
      </c>
      <c r="E276">
        <v>267454.40999999997</v>
      </c>
      <c r="F276">
        <v>267454.40999999997</v>
      </c>
      <c r="G276" s="1">
        <v>45423</v>
      </c>
      <c r="H276" t="s">
        <v>543</v>
      </c>
      <c r="I276" t="str">
        <f t="shared" si="25"/>
        <v>OK</v>
      </c>
      <c r="J276" t="str">
        <f t="shared" si="26"/>
        <v>OK</v>
      </c>
      <c r="K276" t="str">
        <f t="shared" si="27"/>
        <v>Unique</v>
      </c>
      <c r="L276" t="str">
        <f t="shared" si="28"/>
        <v>OK</v>
      </c>
      <c r="M276" t="str">
        <f t="shared" si="29"/>
        <v>CLEAN</v>
      </c>
      <c r="N276" t="str">
        <f t="shared" si="24"/>
        <v/>
      </c>
    </row>
    <row r="277" spans="1:14" x14ac:dyDescent="0.35">
      <c r="A277" t="s">
        <v>544</v>
      </c>
      <c r="B277" t="s">
        <v>45</v>
      </c>
      <c r="C277" t="s">
        <v>23</v>
      </c>
      <c r="D277">
        <v>1</v>
      </c>
      <c r="E277">
        <v>134836.87</v>
      </c>
      <c r="F277">
        <v>134836.87</v>
      </c>
      <c r="G277" s="1">
        <v>45407</v>
      </c>
      <c r="H277" t="s">
        <v>545</v>
      </c>
      <c r="I277" t="str">
        <f t="shared" si="25"/>
        <v>OK</v>
      </c>
      <c r="J277" t="str">
        <f t="shared" si="26"/>
        <v>OK</v>
      </c>
      <c r="K277" t="str">
        <f t="shared" si="27"/>
        <v>Unique</v>
      </c>
      <c r="L277" t="str">
        <f t="shared" si="28"/>
        <v>OK</v>
      </c>
      <c r="M277" t="str">
        <f t="shared" si="29"/>
        <v>CLEAN</v>
      </c>
      <c r="N277" t="str">
        <f t="shared" si="24"/>
        <v/>
      </c>
    </row>
    <row r="278" spans="1:14" x14ac:dyDescent="0.35">
      <c r="A278" t="s">
        <v>546</v>
      </c>
      <c r="B278" t="s">
        <v>79</v>
      </c>
      <c r="C278" t="s">
        <v>70</v>
      </c>
      <c r="D278">
        <v>1</v>
      </c>
      <c r="E278">
        <v>275175.96999999997</v>
      </c>
      <c r="F278">
        <v>275175.96999999997</v>
      </c>
      <c r="G278" s="1">
        <v>45735</v>
      </c>
      <c r="H278" t="s">
        <v>547</v>
      </c>
      <c r="I278" t="str">
        <f t="shared" si="25"/>
        <v>OK</v>
      </c>
      <c r="J278" t="str">
        <f t="shared" si="26"/>
        <v>OK</v>
      </c>
      <c r="K278" t="str">
        <f t="shared" si="27"/>
        <v>Unique</v>
      </c>
      <c r="L278" t="str">
        <f t="shared" si="28"/>
        <v>OK</v>
      </c>
      <c r="M278" t="str">
        <f t="shared" si="29"/>
        <v>CLEAN</v>
      </c>
      <c r="N278" t="str">
        <f t="shared" si="24"/>
        <v/>
      </c>
    </row>
    <row r="279" spans="1:14" x14ac:dyDescent="0.35">
      <c r="A279" t="s">
        <v>548</v>
      </c>
      <c r="B279" t="s">
        <v>34</v>
      </c>
      <c r="C279" t="s">
        <v>23</v>
      </c>
      <c r="D279">
        <v>1</v>
      </c>
      <c r="E279">
        <v>113560.16</v>
      </c>
      <c r="F279">
        <v>113560.16</v>
      </c>
      <c r="G279" s="1">
        <v>45381</v>
      </c>
      <c r="H279" t="s">
        <v>549</v>
      </c>
      <c r="I279" t="str">
        <f t="shared" si="25"/>
        <v>OK</v>
      </c>
      <c r="J279" t="str">
        <f t="shared" si="26"/>
        <v>OK</v>
      </c>
      <c r="K279" t="str">
        <f t="shared" si="27"/>
        <v>Unique</v>
      </c>
      <c r="L279" t="str">
        <f t="shared" si="28"/>
        <v>OK</v>
      </c>
      <c r="M279" t="str">
        <f t="shared" si="29"/>
        <v>CLEAN</v>
      </c>
      <c r="N279" t="str">
        <f t="shared" si="24"/>
        <v/>
      </c>
    </row>
    <row r="280" spans="1:14" x14ac:dyDescent="0.35">
      <c r="A280" t="s">
        <v>1053</v>
      </c>
      <c r="B280" t="s">
        <v>45</v>
      </c>
      <c r="C280" t="s">
        <v>17</v>
      </c>
      <c r="D280">
        <v>1</v>
      </c>
      <c r="E280">
        <v>24534.87</v>
      </c>
      <c r="F280">
        <v>24534.87</v>
      </c>
      <c r="G280" s="1">
        <v>45551</v>
      </c>
      <c r="H280" t="s">
        <v>550</v>
      </c>
      <c r="I280" t="str">
        <f t="shared" si="25"/>
        <v>OK</v>
      </c>
      <c r="J280" t="str">
        <f t="shared" si="26"/>
        <v>OK</v>
      </c>
      <c r="K280" t="str">
        <f t="shared" si="27"/>
        <v>Unique</v>
      </c>
      <c r="L280" t="str">
        <f t="shared" si="28"/>
        <v>OK</v>
      </c>
      <c r="M280" t="str">
        <f t="shared" si="29"/>
        <v>CLEAN</v>
      </c>
      <c r="N280" t="str">
        <f t="shared" si="24"/>
        <v/>
      </c>
    </row>
    <row r="281" spans="1:14" x14ac:dyDescent="0.35">
      <c r="A281" t="s">
        <v>551</v>
      </c>
      <c r="B281" t="s">
        <v>89</v>
      </c>
      <c r="C281" t="s">
        <v>17</v>
      </c>
      <c r="D281">
        <v>54</v>
      </c>
      <c r="E281">
        <v>289261.24</v>
      </c>
      <c r="F281">
        <v>15620106.959999999</v>
      </c>
      <c r="G281" s="1">
        <v>45847</v>
      </c>
      <c r="H281" t="s">
        <v>552</v>
      </c>
      <c r="I281" t="str">
        <f t="shared" si="25"/>
        <v>OK</v>
      </c>
      <c r="J281" t="str">
        <f t="shared" si="26"/>
        <v>OK</v>
      </c>
      <c r="K281" t="str">
        <f t="shared" si="27"/>
        <v>Unique</v>
      </c>
      <c r="L281" t="str">
        <f t="shared" si="28"/>
        <v>OK</v>
      </c>
      <c r="M281" t="str">
        <f t="shared" si="29"/>
        <v>CLEAN</v>
      </c>
      <c r="N281" t="str">
        <f t="shared" si="24"/>
        <v/>
      </c>
    </row>
    <row r="282" spans="1:14" x14ac:dyDescent="0.35">
      <c r="A282" t="s">
        <v>553</v>
      </c>
      <c r="B282" t="s">
        <v>45</v>
      </c>
      <c r="C282" t="s">
        <v>46</v>
      </c>
      <c r="D282">
        <v>1</v>
      </c>
      <c r="E282">
        <v>0</v>
      </c>
      <c r="F282">
        <v>0</v>
      </c>
      <c r="G282" s="1">
        <v>45401</v>
      </c>
      <c r="H282" t="s">
        <v>1119</v>
      </c>
      <c r="I282" t="str">
        <f t="shared" si="25"/>
        <v>Check Price</v>
      </c>
      <c r="J282" t="str">
        <f t="shared" si="26"/>
        <v>Zero Sale</v>
      </c>
      <c r="K282" t="str">
        <f t="shared" si="27"/>
        <v>Unique</v>
      </c>
      <c r="L282" t="str">
        <f t="shared" si="28"/>
        <v>OK</v>
      </c>
      <c r="M282" t="str">
        <f t="shared" si="29"/>
        <v>EXCEPTION</v>
      </c>
      <c r="N282" t="str">
        <f t="shared" si="24"/>
        <v>Price Issue, Zero Sale</v>
      </c>
    </row>
    <row r="283" spans="1:14" x14ac:dyDescent="0.35">
      <c r="A283" t="s">
        <v>554</v>
      </c>
      <c r="B283" t="s">
        <v>45</v>
      </c>
      <c r="C283" t="s">
        <v>90</v>
      </c>
      <c r="D283">
        <v>1</v>
      </c>
      <c r="E283">
        <v>262428.84000000003</v>
      </c>
      <c r="F283">
        <v>262428.84000000003</v>
      </c>
      <c r="G283" s="1">
        <v>45704</v>
      </c>
      <c r="H283" t="s">
        <v>555</v>
      </c>
      <c r="I283" t="str">
        <f t="shared" si="25"/>
        <v>OK</v>
      </c>
      <c r="J283" t="str">
        <f t="shared" si="26"/>
        <v>OK</v>
      </c>
      <c r="K283" t="str">
        <f t="shared" si="27"/>
        <v>Unique</v>
      </c>
      <c r="L283" t="str">
        <f t="shared" si="28"/>
        <v>OK</v>
      </c>
      <c r="M283" t="str">
        <f t="shared" si="29"/>
        <v>CLEAN</v>
      </c>
      <c r="N283" t="str">
        <f t="shared" si="24"/>
        <v/>
      </c>
    </row>
    <row r="284" spans="1:14" x14ac:dyDescent="0.35">
      <c r="A284" t="s">
        <v>556</v>
      </c>
      <c r="B284" t="s">
        <v>79</v>
      </c>
      <c r="C284" t="s">
        <v>70</v>
      </c>
      <c r="D284">
        <v>1</v>
      </c>
      <c r="E284">
        <v>40330.449999999997</v>
      </c>
      <c r="F284">
        <v>40330.449999999997</v>
      </c>
      <c r="G284" s="1">
        <v>45230</v>
      </c>
      <c r="H284" t="s">
        <v>557</v>
      </c>
      <c r="I284" t="str">
        <f t="shared" si="25"/>
        <v>OK</v>
      </c>
      <c r="J284" t="str">
        <f t="shared" si="26"/>
        <v>OK</v>
      </c>
      <c r="K284" t="str">
        <f t="shared" si="27"/>
        <v>Unique</v>
      </c>
      <c r="L284" t="str">
        <f t="shared" si="28"/>
        <v>OK</v>
      </c>
      <c r="M284" t="str">
        <f t="shared" si="29"/>
        <v>CLEAN</v>
      </c>
      <c r="N284" t="str">
        <f t="shared" si="24"/>
        <v/>
      </c>
    </row>
    <row r="285" spans="1:14" x14ac:dyDescent="0.35">
      <c r="A285" t="s">
        <v>558</v>
      </c>
      <c r="B285" t="s">
        <v>213</v>
      </c>
      <c r="C285" t="s">
        <v>55</v>
      </c>
      <c r="D285">
        <v>1</v>
      </c>
      <c r="E285">
        <v>258155.83</v>
      </c>
      <c r="F285">
        <v>258155.83</v>
      </c>
      <c r="G285" s="1">
        <v>45272</v>
      </c>
      <c r="H285" t="s">
        <v>559</v>
      </c>
      <c r="I285" t="str">
        <f t="shared" si="25"/>
        <v>OK</v>
      </c>
      <c r="J285" t="str">
        <f t="shared" si="26"/>
        <v>OK</v>
      </c>
      <c r="K285" t="str">
        <f t="shared" si="27"/>
        <v>Unique</v>
      </c>
      <c r="L285" t="str">
        <f t="shared" si="28"/>
        <v>OK</v>
      </c>
      <c r="M285" t="str">
        <f t="shared" si="29"/>
        <v>CLEAN</v>
      </c>
      <c r="N285" t="str">
        <f t="shared" si="24"/>
        <v/>
      </c>
    </row>
    <row r="286" spans="1:14" x14ac:dyDescent="0.35">
      <c r="A286" t="s">
        <v>560</v>
      </c>
      <c r="B286" t="s">
        <v>58</v>
      </c>
      <c r="C286" t="s">
        <v>23</v>
      </c>
      <c r="D286">
        <v>71</v>
      </c>
      <c r="E286">
        <v>36030.629999999997</v>
      </c>
      <c r="F286">
        <v>2558174.73</v>
      </c>
      <c r="G286" s="1">
        <v>45585</v>
      </c>
      <c r="H286" t="s">
        <v>561</v>
      </c>
      <c r="I286" t="str">
        <f t="shared" si="25"/>
        <v>OK</v>
      </c>
      <c r="J286" t="str">
        <f t="shared" si="26"/>
        <v>OK</v>
      </c>
      <c r="K286" t="str">
        <f t="shared" si="27"/>
        <v>Unique</v>
      </c>
      <c r="L286" t="str">
        <f t="shared" si="28"/>
        <v>OK</v>
      </c>
      <c r="M286" t="str">
        <f t="shared" si="29"/>
        <v>CLEAN</v>
      </c>
      <c r="N286" t="str">
        <f t="shared" si="24"/>
        <v/>
      </c>
    </row>
    <row r="287" spans="1:14" x14ac:dyDescent="0.35">
      <c r="A287" t="s">
        <v>562</v>
      </c>
      <c r="B287" t="s">
        <v>58</v>
      </c>
      <c r="C287" t="s">
        <v>90</v>
      </c>
      <c r="D287">
        <v>1</v>
      </c>
      <c r="E287">
        <v>297857.61</v>
      </c>
      <c r="F287">
        <v>297857.61</v>
      </c>
      <c r="G287" s="1">
        <v>45513</v>
      </c>
      <c r="H287" t="s">
        <v>563</v>
      </c>
      <c r="I287" t="str">
        <f t="shared" si="25"/>
        <v>OK</v>
      </c>
      <c r="J287" t="str">
        <f t="shared" si="26"/>
        <v>OK</v>
      </c>
      <c r="K287" t="str">
        <f t="shared" si="27"/>
        <v>Unique</v>
      </c>
      <c r="L287" t="str">
        <f t="shared" si="28"/>
        <v>OK</v>
      </c>
      <c r="M287" t="str">
        <f t="shared" si="29"/>
        <v>CLEAN</v>
      </c>
      <c r="N287" t="str">
        <f t="shared" si="24"/>
        <v/>
      </c>
    </row>
    <row r="288" spans="1:14" x14ac:dyDescent="0.35">
      <c r="A288" t="s">
        <v>1047</v>
      </c>
      <c r="B288" t="s">
        <v>85</v>
      </c>
      <c r="C288" t="s">
        <v>46</v>
      </c>
      <c r="D288">
        <v>1</v>
      </c>
      <c r="E288">
        <v>118221.06</v>
      </c>
      <c r="F288">
        <v>118221.06</v>
      </c>
      <c r="G288" s="1">
        <v>45429</v>
      </c>
      <c r="H288" t="s">
        <v>564</v>
      </c>
      <c r="I288" t="str">
        <f t="shared" si="25"/>
        <v>OK</v>
      </c>
      <c r="J288" t="str">
        <f t="shared" si="26"/>
        <v>OK</v>
      </c>
      <c r="K288" t="str">
        <f t="shared" si="27"/>
        <v>Unique</v>
      </c>
      <c r="L288" t="str">
        <f t="shared" si="28"/>
        <v>OK</v>
      </c>
      <c r="M288" t="str">
        <f t="shared" si="29"/>
        <v>CLEAN</v>
      </c>
      <c r="N288" t="str">
        <f t="shared" si="24"/>
        <v/>
      </c>
    </row>
    <row r="289" spans="1:14" x14ac:dyDescent="0.35">
      <c r="A289" t="s">
        <v>565</v>
      </c>
      <c r="B289" t="s">
        <v>45</v>
      </c>
      <c r="C289" t="s">
        <v>27</v>
      </c>
      <c r="D289">
        <v>11</v>
      </c>
      <c r="E289">
        <v>38640.449999999997</v>
      </c>
      <c r="F289">
        <v>425044.94999999995</v>
      </c>
      <c r="G289" s="1">
        <v>45506</v>
      </c>
      <c r="H289" t="s">
        <v>566</v>
      </c>
      <c r="I289" t="str">
        <f t="shared" si="25"/>
        <v>OK</v>
      </c>
      <c r="J289" t="str">
        <f t="shared" si="26"/>
        <v>OK</v>
      </c>
      <c r="K289" t="str">
        <f t="shared" si="27"/>
        <v>Unique</v>
      </c>
      <c r="L289" t="str">
        <f t="shared" si="28"/>
        <v>OK</v>
      </c>
      <c r="M289" t="str">
        <f t="shared" si="29"/>
        <v>CLEAN</v>
      </c>
      <c r="N289" t="str">
        <f t="shared" si="24"/>
        <v/>
      </c>
    </row>
    <row r="290" spans="1:14" x14ac:dyDescent="0.35">
      <c r="A290" t="s">
        <v>567</v>
      </c>
      <c r="B290" t="s">
        <v>58</v>
      </c>
      <c r="C290" t="s">
        <v>90</v>
      </c>
      <c r="D290">
        <v>1</v>
      </c>
      <c r="E290">
        <v>293627.95</v>
      </c>
      <c r="F290">
        <v>293627.95</v>
      </c>
      <c r="G290" s="1">
        <v>45149</v>
      </c>
      <c r="H290" t="s">
        <v>568</v>
      </c>
      <c r="I290" t="str">
        <f t="shared" si="25"/>
        <v>OK</v>
      </c>
      <c r="J290" t="str">
        <f t="shared" si="26"/>
        <v>OK</v>
      </c>
      <c r="K290" t="str">
        <f t="shared" si="27"/>
        <v>Unique</v>
      </c>
      <c r="L290" t="str">
        <f t="shared" si="28"/>
        <v>OK</v>
      </c>
      <c r="M290" t="str">
        <f t="shared" si="29"/>
        <v>CLEAN</v>
      </c>
      <c r="N290" t="str">
        <f t="shared" si="24"/>
        <v/>
      </c>
    </row>
    <row r="291" spans="1:14" x14ac:dyDescent="0.35">
      <c r="A291" t="s">
        <v>569</v>
      </c>
      <c r="B291" t="s">
        <v>37</v>
      </c>
      <c r="C291" t="s">
        <v>23</v>
      </c>
      <c r="D291">
        <v>66</v>
      </c>
      <c r="E291">
        <v>250529.07</v>
      </c>
      <c r="F291">
        <v>16534918.620000001</v>
      </c>
      <c r="G291" s="1">
        <v>45153</v>
      </c>
      <c r="H291" t="s">
        <v>570</v>
      </c>
      <c r="I291" t="str">
        <f t="shared" si="25"/>
        <v>OK</v>
      </c>
      <c r="J291" t="str">
        <f t="shared" si="26"/>
        <v>OK</v>
      </c>
      <c r="K291" t="str">
        <f t="shared" si="27"/>
        <v>Unique</v>
      </c>
      <c r="L291" t="str">
        <f t="shared" si="28"/>
        <v>OK</v>
      </c>
      <c r="M291" t="str">
        <f t="shared" si="29"/>
        <v>CLEAN</v>
      </c>
      <c r="N291" t="str">
        <f t="shared" si="24"/>
        <v/>
      </c>
    </row>
    <row r="292" spans="1:14" x14ac:dyDescent="0.35">
      <c r="A292" t="s">
        <v>571</v>
      </c>
      <c r="B292" t="s">
        <v>85</v>
      </c>
      <c r="C292" t="s">
        <v>90</v>
      </c>
      <c r="D292">
        <v>56</v>
      </c>
      <c r="E292">
        <v>0</v>
      </c>
      <c r="F292">
        <v>0</v>
      </c>
      <c r="G292" s="1">
        <v>45148</v>
      </c>
      <c r="H292" s="2" t="s">
        <v>572</v>
      </c>
      <c r="I292" t="str">
        <f t="shared" si="25"/>
        <v>Check Price</v>
      </c>
      <c r="J292" t="str">
        <f t="shared" si="26"/>
        <v>Zero Sale</v>
      </c>
      <c r="K292" t="str">
        <f t="shared" si="27"/>
        <v>Unique</v>
      </c>
      <c r="L292" t="str">
        <f t="shared" si="28"/>
        <v>OK</v>
      </c>
      <c r="M292" t="str">
        <f t="shared" si="29"/>
        <v>EXCEPTION</v>
      </c>
      <c r="N292" t="str">
        <f t="shared" si="24"/>
        <v>Price Issue, Zero Sale</v>
      </c>
    </row>
    <row r="293" spans="1:14" x14ac:dyDescent="0.35">
      <c r="A293" t="s">
        <v>573</v>
      </c>
      <c r="B293" t="s">
        <v>37</v>
      </c>
      <c r="C293" t="s">
        <v>12</v>
      </c>
      <c r="D293">
        <v>1</v>
      </c>
      <c r="E293">
        <v>226975.73</v>
      </c>
      <c r="F293">
        <v>226975.73</v>
      </c>
      <c r="G293" s="1">
        <v>45224</v>
      </c>
      <c r="H293" t="s">
        <v>574</v>
      </c>
      <c r="I293" t="str">
        <f t="shared" si="25"/>
        <v>OK</v>
      </c>
      <c r="J293" t="str">
        <f t="shared" si="26"/>
        <v>OK</v>
      </c>
      <c r="K293" t="str">
        <f t="shared" si="27"/>
        <v>Unique</v>
      </c>
      <c r="L293" t="str">
        <f t="shared" si="28"/>
        <v>OK</v>
      </c>
      <c r="M293" t="str">
        <f t="shared" si="29"/>
        <v>CLEAN</v>
      </c>
      <c r="N293" t="str">
        <f t="shared" si="24"/>
        <v/>
      </c>
    </row>
    <row r="294" spans="1:14" x14ac:dyDescent="0.35">
      <c r="A294" t="s">
        <v>575</v>
      </c>
      <c r="B294" t="s">
        <v>61</v>
      </c>
      <c r="C294" t="s">
        <v>17</v>
      </c>
      <c r="D294">
        <v>45</v>
      </c>
      <c r="E294">
        <v>293557.96000000002</v>
      </c>
      <c r="F294">
        <v>13210108.200000001</v>
      </c>
      <c r="G294" s="1">
        <v>45672</v>
      </c>
      <c r="H294" t="s">
        <v>576</v>
      </c>
      <c r="I294" t="str">
        <f t="shared" si="25"/>
        <v>OK</v>
      </c>
      <c r="J294" t="str">
        <f t="shared" si="26"/>
        <v>OK</v>
      </c>
      <c r="K294" t="str">
        <f t="shared" si="27"/>
        <v>Unique</v>
      </c>
      <c r="L294" t="str">
        <f t="shared" si="28"/>
        <v>OK</v>
      </c>
      <c r="M294" t="str">
        <f t="shared" si="29"/>
        <v>CLEAN</v>
      </c>
      <c r="N294" t="str">
        <f t="shared" si="24"/>
        <v/>
      </c>
    </row>
    <row r="295" spans="1:14" x14ac:dyDescent="0.35">
      <c r="A295" t="s">
        <v>577</v>
      </c>
      <c r="B295" t="s">
        <v>37</v>
      </c>
      <c r="C295" t="s">
        <v>17</v>
      </c>
      <c r="D295">
        <v>54</v>
      </c>
      <c r="E295">
        <v>139169.67000000001</v>
      </c>
      <c r="F295">
        <v>7515162.1800000006</v>
      </c>
      <c r="G295" s="1">
        <v>45376</v>
      </c>
      <c r="H295" t="s">
        <v>578</v>
      </c>
      <c r="I295" t="str">
        <f t="shared" si="25"/>
        <v>OK</v>
      </c>
      <c r="J295" t="str">
        <f t="shared" si="26"/>
        <v>OK</v>
      </c>
      <c r="K295" t="str">
        <f t="shared" si="27"/>
        <v>Unique</v>
      </c>
      <c r="L295" t="str">
        <f t="shared" si="28"/>
        <v>OK</v>
      </c>
      <c r="M295" t="str">
        <f t="shared" si="29"/>
        <v>CLEAN</v>
      </c>
      <c r="N295" t="str">
        <f t="shared" si="24"/>
        <v/>
      </c>
    </row>
    <row r="296" spans="1:14" x14ac:dyDescent="0.35">
      <c r="A296" t="s">
        <v>579</v>
      </c>
      <c r="B296" t="s">
        <v>20</v>
      </c>
      <c r="C296" t="s">
        <v>23</v>
      </c>
      <c r="D296">
        <v>1</v>
      </c>
      <c r="E296">
        <v>215868.65</v>
      </c>
      <c r="F296">
        <v>215868.65</v>
      </c>
      <c r="G296" s="1">
        <v>45742</v>
      </c>
      <c r="H296" t="s">
        <v>1120</v>
      </c>
      <c r="I296" t="str">
        <f t="shared" si="25"/>
        <v>OK</v>
      </c>
      <c r="J296" t="str">
        <f t="shared" si="26"/>
        <v>OK</v>
      </c>
      <c r="K296" t="str">
        <f t="shared" si="27"/>
        <v>Unique</v>
      </c>
      <c r="L296" t="str">
        <f t="shared" si="28"/>
        <v>OK</v>
      </c>
      <c r="M296" t="str">
        <f t="shared" si="29"/>
        <v>CLEAN</v>
      </c>
      <c r="N296" t="str">
        <f t="shared" si="24"/>
        <v/>
      </c>
    </row>
    <row r="297" spans="1:14" x14ac:dyDescent="0.35">
      <c r="A297" t="s">
        <v>580</v>
      </c>
      <c r="B297" t="s">
        <v>105</v>
      </c>
      <c r="C297" t="s">
        <v>12</v>
      </c>
      <c r="D297">
        <v>48</v>
      </c>
      <c r="E297">
        <v>127526.34</v>
      </c>
      <c r="F297">
        <v>6121264.3200000003</v>
      </c>
      <c r="G297" s="1">
        <v>45485</v>
      </c>
      <c r="H297" t="s">
        <v>581</v>
      </c>
      <c r="I297" t="str">
        <f t="shared" si="25"/>
        <v>OK</v>
      </c>
      <c r="J297" t="str">
        <f t="shared" si="26"/>
        <v>OK</v>
      </c>
      <c r="K297" t="str">
        <f t="shared" si="27"/>
        <v>Unique</v>
      </c>
      <c r="L297" t="str">
        <f t="shared" si="28"/>
        <v>OK</v>
      </c>
      <c r="M297" t="str">
        <f t="shared" si="29"/>
        <v>CLEAN</v>
      </c>
      <c r="N297" t="str">
        <f t="shared" si="24"/>
        <v/>
      </c>
    </row>
    <row r="298" spans="1:14" x14ac:dyDescent="0.35">
      <c r="A298" t="s">
        <v>582</v>
      </c>
      <c r="B298" t="s">
        <v>31</v>
      </c>
      <c r="C298" t="s">
        <v>70</v>
      </c>
      <c r="D298">
        <v>50</v>
      </c>
      <c r="E298">
        <v>114093.3</v>
      </c>
      <c r="F298">
        <v>5704665</v>
      </c>
      <c r="G298" s="1">
        <v>45521</v>
      </c>
      <c r="H298" t="s">
        <v>583</v>
      </c>
      <c r="I298" t="str">
        <f t="shared" si="25"/>
        <v>OK</v>
      </c>
      <c r="J298" t="str">
        <f t="shared" si="26"/>
        <v>OK</v>
      </c>
      <c r="K298" t="str">
        <f t="shared" si="27"/>
        <v>Unique</v>
      </c>
      <c r="L298" t="str">
        <f t="shared" si="28"/>
        <v>OK</v>
      </c>
      <c r="M298" t="str">
        <f t="shared" si="29"/>
        <v>CLEAN</v>
      </c>
      <c r="N298" t="str">
        <f t="shared" si="24"/>
        <v/>
      </c>
    </row>
    <row r="299" spans="1:14" x14ac:dyDescent="0.35">
      <c r="A299" t="s">
        <v>584</v>
      </c>
      <c r="B299" t="s">
        <v>79</v>
      </c>
      <c r="C299" t="s">
        <v>17</v>
      </c>
      <c r="D299">
        <v>48</v>
      </c>
      <c r="E299">
        <v>69284.39</v>
      </c>
      <c r="F299">
        <v>3325650.7199999997</v>
      </c>
      <c r="G299" s="1">
        <v>45472</v>
      </c>
      <c r="H299" t="s">
        <v>585</v>
      </c>
      <c r="I299" t="str">
        <f t="shared" si="25"/>
        <v>OK</v>
      </c>
      <c r="J299" t="str">
        <f t="shared" si="26"/>
        <v>OK</v>
      </c>
      <c r="K299" t="str">
        <f t="shared" si="27"/>
        <v>Unique</v>
      </c>
      <c r="L299" t="str">
        <f t="shared" si="28"/>
        <v>OK</v>
      </c>
      <c r="M299" t="str">
        <f t="shared" si="29"/>
        <v>CLEAN</v>
      </c>
      <c r="N299" t="str">
        <f t="shared" si="24"/>
        <v/>
      </c>
    </row>
    <row r="300" spans="1:14" x14ac:dyDescent="0.35">
      <c r="A300" t="s">
        <v>486</v>
      </c>
      <c r="B300" t="s">
        <v>20</v>
      </c>
      <c r="C300" t="s">
        <v>46</v>
      </c>
      <c r="D300">
        <v>1</v>
      </c>
      <c r="E300">
        <v>138457.26999999999</v>
      </c>
      <c r="F300">
        <v>138457.26999999999</v>
      </c>
      <c r="G300" s="1">
        <v>45233</v>
      </c>
      <c r="H300" t="s">
        <v>586</v>
      </c>
      <c r="I300" t="str">
        <f t="shared" si="25"/>
        <v>OK</v>
      </c>
      <c r="J300" t="str">
        <f t="shared" si="26"/>
        <v>OK</v>
      </c>
      <c r="K300" t="str">
        <f t="shared" si="27"/>
        <v>Unique</v>
      </c>
      <c r="L300" t="str">
        <f t="shared" si="28"/>
        <v>OK</v>
      </c>
      <c r="M300" t="str">
        <f t="shared" si="29"/>
        <v>CLEAN</v>
      </c>
      <c r="N300" t="str">
        <f t="shared" si="24"/>
        <v/>
      </c>
    </row>
    <row r="301" spans="1:14" x14ac:dyDescent="0.35">
      <c r="A301" t="s">
        <v>1047</v>
      </c>
      <c r="B301" t="s">
        <v>79</v>
      </c>
      <c r="C301" t="s">
        <v>17</v>
      </c>
      <c r="D301">
        <v>1</v>
      </c>
      <c r="E301">
        <v>46958.85</v>
      </c>
      <c r="F301">
        <v>46958.85</v>
      </c>
      <c r="G301" s="1">
        <v>45588</v>
      </c>
      <c r="H301" t="s">
        <v>587</v>
      </c>
      <c r="I301" t="str">
        <f t="shared" si="25"/>
        <v>OK</v>
      </c>
      <c r="J301" t="str">
        <f t="shared" si="26"/>
        <v>OK</v>
      </c>
      <c r="K301" t="str">
        <f t="shared" si="27"/>
        <v>Unique</v>
      </c>
      <c r="L301" t="str">
        <f t="shared" si="28"/>
        <v>OK</v>
      </c>
      <c r="M301" t="str">
        <f t="shared" si="29"/>
        <v>CLEAN</v>
      </c>
      <c r="N301" t="str">
        <f t="shared" si="24"/>
        <v/>
      </c>
    </row>
    <row r="302" spans="1:14" x14ac:dyDescent="0.35">
      <c r="A302" t="s">
        <v>588</v>
      </c>
      <c r="B302" t="s">
        <v>61</v>
      </c>
      <c r="C302" t="s">
        <v>55</v>
      </c>
      <c r="D302">
        <v>1</v>
      </c>
      <c r="E302">
        <v>0</v>
      </c>
      <c r="F302">
        <v>0</v>
      </c>
      <c r="G302" s="1">
        <v>45811</v>
      </c>
      <c r="H302" t="s">
        <v>589</v>
      </c>
      <c r="I302" t="str">
        <f t="shared" si="25"/>
        <v>Check Price</v>
      </c>
      <c r="J302" t="str">
        <f t="shared" si="26"/>
        <v>Zero Sale</v>
      </c>
      <c r="K302" t="str">
        <f t="shared" si="27"/>
        <v>Unique</v>
      </c>
      <c r="L302" t="str">
        <f t="shared" si="28"/>
        <v>OK</v>
      </c>
      <c r="M302" t="str">
        <f t="shared" si="29"/>
        <v>EXCEPTION</v>
      </c>
      <c r="N302" t="str">
        <f t="shared" si="24"/>
        <v>Price Issue, Zero Sale</v>
      </c>
    </row>
    <row r="303" spans="1:14" x14ac:dyDescent="0.35">
      <c r="A303" t="s">
        <v>590</v>
      </c>
      <c r="B303" t="s">
        <v>45</v>
      </c>
      <c r="C303" t="s">
        <v>70</v>
      </c>
      <c r="D303">
        <v>19</v>
      </c>
      <c r="E303">
        <v>56949.9</v>
      </c>
      <c r="F303">
        <v>1082048.1000000001</v>
      </c>
      <c r="G303" s="1">
        <v>45518</v>
      </c>
      <c r="H303" t="s">
        <v>591</v>
      </c>
      <c r="I303" t="str">
        <f t="shared" si="25"/>
        <v>OK</v>
      </c>
      <c r="J303" t="str">
        <f t="shared" si="26"/>
        <v>OK</v>
      </c>
      <c r="K303" t="str">
        <f t="shared" si="27"/>
        <v>Unique</v>
      </c>
      <c r="L303" t="str">
        <f t="shared" si="28"/>
        <v>OK</v>
      </c>
      <c r="M303" t="str">
        <f t="shared" si="29"/>
        <v>CLEAN</v>
      </c>
      <c r="N303" t="str">
        <f t="shared" si="24"/>
        <v/>
      </c>
    </row>
    <row r="304" spans="1:14" x14ac:dyDescent="0.35">
      <c r="A304" t="s">
        <v>592</v>
      </c>
      <c r="B304" t="s">
        <v>61</v>
      </c>
      <c r="C304" t="s">
        <v>55</v>
      </c>
      <c r="D304">
        <v>1</v>
      </c>
      <c r="E304">
        <v>262624.84999999998</v>
      </c>
      <c r="F304">
        <v>262624.84999999998</v>
      </c>
      <c r="G304" s="1">
        <v>45226</v>
      </c>
      <c r="H304" t="s">
        <v>593</v>
      </c>
      <c r="I304" t="str">
        <f t="shared" si="25"/>
        <v>OK</v>
      </c>
      <c r="J304" t="str">
        <f t="shared" si="26"/>
        <v>OK</v>
      </c>
      <c r="K304" t="str">
        <f t="shared" si="27"/>
        <v>Unique</v>
      </c>
      <c r="L304" t="str">
        <f t="shared" si="28"/>
        <v>OK</v>
      </c>
      <c r="M304" t="str">
        <f t="shared" si="29"/>
        <v>CLEAN</v>
      </c>
      <c r="N304" t="str">
        <f t="shared" si="24"/>
        <v/>
      </c>
    </row>
    <row r="305" spans="1:14" x14ac:dyDescent="0.35">
      <c r="A305" t="s">
        <v>594</v>
      </c>
      <c r="B305" t="s">
        <v>37</v>
      </c>
      <c r="C305" t="s">
        <v>55</v>
      </c>
      <c r="D305">
        <v>1</v>
      </c>
      <c r="E305">
        <v>229764.23</v>
      </c>
      <c r="F305">
        <v>229764.23</v>
      </c>
      <c r="G305" s="1">
        <v>45372</v>
      </c>
      <c r="H305" t="s">
        <v>595</v>
      </c>
      <c r="I305" t="str">
        <f t="shared" si="25"/>
        <v>OK</v>
      </c>
      <c r="J305" t="str">
        <f t="shared" si="26"/>
        <v>OK</v>
      </c>
      <c r="K305" t="str">
        <f t="shared" si="27"/>
        <v>Unique</v>
      </c>
      <c r="L305" t="str">
        <f t="shared" si="28"/>
        <v>OK</v>
      </c>
      <c r="M305" t="str">
        <f t="shared" si="29"/>
        <v>CLEAN</v>
      </c>
      <c r="N305" t="str">
        <f t="shared" si="24"/>
        <v/>
      </c>
    </row>
    <row r="306" spans="1:14" x14ac:dyDescent="0.35">
      <c r="A306" t="s">
        <v>596</v>
      </c>
      <c r="B306" t="s">
        <v>42</v>
      </c>
      <c r="C306" t="s">
        <v>46</v>
      </c>
      <c r="D306">
        <v>1</v>
      </c>
      <c r="E306">
        <v>10149.09</v>
      </c>
      <c r="F306">
        <v>10149.09</v>
      </c>
      <c r="G306" s="1">
        <v>45841</v>
      </c>
      <c r="H306" t="s">
        <v>597</v>
      </c>
      <c r="I306" t="str">
        <f t="shared" si="25"/>
        <v>OK</v>
      </c>
      <c r="J306" t="str">
        <f t="shared" si="26"/>
        <v>OK</v>
      </c>
      <c r="K306" t="str">
        <f t="shared" si="27"/>
        <v>Unique</v>
      </c>
      <c r="L306" t="str">
        <f t="shared" si="28"/>
        <v>OK</v>
      </c>
      <c r="M306" t="str">
        <f t="shared" si="29"/>
        <v>CLEAN</v>
      </c>
      <c r="N306" t="str">
        <f t="shared" si="24"/>
        <v/>
      </c>
    </row>
    <row r="307" spans="1:14" x14ac:dyDescent="0.35">
      <c r="A307" t="s">
        <v>598</v>
      </c>
      <c r="B307" t="s">
        <v>79</v>
      </c>
      <c r="C307" t="s">
        <v>12</v>
      </c>
      <c r="D307">
        <v>1</v>
      </c>
      <c r="E307">
        <v>198229.21</v>
      </c>
      <c r="F307">
        <v>198229.21</v>
      </c>
      <c r="G307" s="1">
        <v>45594</v>
      </c>
      <c r="H307" t="s">
        <v>599</v>
      </c>
      <c r="I307" t="str">
        <f t="shared" si="25"/>
        <v>OK</v>
      </c>
      <c r="J307" t="str">
        <f t="shared" si="26"/>
        <v>OK</v>
      </c>
      <c r="K307" t="str">
        <f t="shared" si="27"/>
        <v>Unique</v>
      </c>
      <c r="L307" t="str">
        <f t="shared" si="28"/>
        <v>OK</v>
      </c>
      <c r="M307" t="str">
        <f t="shared" si="29"/>
        <v>CLEAN</v>
      </c>
      <c r="N307" t="str">
        <f t="shared" si="24"/>
        <v/>
      </c>
    </row>
    <row r="308" spans="1:14" x14ac:dyDescent="0.35">
      <c r="A308" t="s">
        <v>600</v>
      </c>
      <c r="B308" t="s">
        <v>79</v>
      </c>
      <c r="C308" t="s">
        <v>55</v>
      </c>
      <c r="D308">
        <v>79</v>
      </c>
      <c r="E308">
        <v>184669.5</v>
      </c>
      <c r="F308">
        <v>14588890.5</v>
      </c>
      <c r="G308" s="1">
        <v>45365</v>
      </c>
      <c r="H308" t="s">
        <v>601</v>
      </c>
      <c r="I308" t="str">
        <f t="shared" si="25"/>
        <v>OK</v>
      </c>
      <c r="J308" t="str">
        <f t="shared" si="26"/>
        <v>OK</v>
      </c>
      <c r="K308" t="str">
        <f t="shared" si="27"/>
        <v>Unique</v>
      </c>
      <c r="L308" t="str">
        <f t="shared" si="28"/>
        <v>OK</v>
      </c>
      <c r="M308" t="str">
        <f t="shared" si="29"/>
        <v>CLEAN</v>
      </c>
      <c r="N308" t="str">
        <f t="shared" si="24"/>
        <v/>
      </c>
    </row>
    <row r="309" spans="1:14" x14ac:dyDescent="0.35">
      <c r="A309" t="s">
        <v>602</v>
      </c>
      <c r="B309" t="s">
        <v>58</v>
      </c>
      <c r="C309" t="s">
        <v>70</v>
      </c>
      <c r="D309">
        <v>11</v>
      </c>
      <c r="E309">
        <v>280903.26</v>
      </c>
      <c r="F309">
        <v>3089935.8600000003</v>
      </c>
      <c r="G309" s="1">
        <v>45244</v>
      </c>
      <c r="H309" t="s">
        <v>603</v>
      </c>
      <c r="I309" t="str">
        <f t="shared" si="25"/>
        <v>OK</v>
      </c>
      <c r="J309" t="str">
        <f t="shared" si="26"/>
        <v>OK</v>
      </c>
      <c r="K309" t="str">
        <f t="shared" si="27"/>
        <v>Unique</v>
      </c>
      <c r="L309" t="str">
        <f t="shared" si="28"/>
        <v>OK</v>
      </c>
      <c r="M309" t="str">
        <f t="shared" si="29"/>
        <v>CLEAN</v>
      </c>
      <c r="N309" t="str">
        <f t="shared" si="24"/>
        <v/>
      </c>
    </row>
    <row r="310" spans="1:14" x14ac:dyDescent="0.35">
      <c r="A310" t="s">
        <v>604</v>
      </c>
      <c r="B310" t="s">
        <v>89</v>
      </c>
      <c r="C310" t="s">
        <v>17</v>
      </c>
      <c r="D310">
        <v>33</v>
      </c>
      <c r="E310">
        <v>266767.88</v>
      </c>
      <c r="F310">
        <v>8803340.040000001</v>
      </c>
      <c r="G310" s="1">
        <v>45423</v>
      </c>
      <c r="H310" t="s">
        <v>1121</v>
      </c>
      <c r="I310" t="str">
        <f t="shared" si="25"/>
        <v>OK</v>
      </c>
      <c r="J310" t="str">
        <f t="shared" si="26"/>
        <v>OK</v>
      </c>
      <c r="K310" t="str">
        <f t="shared" si="27"/>
        <v>Unique</v>
      </c>
      <c r="L310" t="str">
        <f t="shared" si="28"/>
        <v>OK</v>
      </c>
      <c r="M310" t="str">
        <f t="shared" si="29"/>
        <v>CLEAN</v>
      </c>
      <c r="N310" t="str">
        <f t="shared" si="24"/>
        <v/>
      </c>
    </row>
    <row r="311" spans="1:14" x14ac:dyDescent="0.35">
      <c r="A311" t="s">
        <v>605</v>
      </c>
      <c r="B311" t="s">
        <v>16</v>
      </c>
      <c r="C311" t="s">
        <v>23</v>
      </c>
      <c r="D311">
        <v>1</v>
      </c>
      <c r="E311">
        <v>72579.56</v>
      </c>
      <c r="F311">
        <v>72579.56</v>
      </c>
      <c r="G311" s="1">
        <v>45596</v>
      </c>
      <c r="H311" t="s">
        <v>606</v>
      </c>
      <c r="I311" t="str">
        <f t="shared" si="25"/>
        <v>OK</v>
      </c>
      <c r="J311" t="str">
        <f t="shared" si="26"/>
        <v>OK</v>
      </c>
      <c r="K311" t="str">
        <f t="shared" si="27"/>
        <v>Unique</v>
      </c>
      <c r="L311" t="str">
        <f t="shared" si="28"/>
        <v>OK</v>
      </c>
      <c r="M311" t="str">
        <f t="shared" si="29"/>
        <v>CLEAN</v>
      </c>
      <c r="N311" t="str">
        <f t="shared" si="24"/>
        <v/>
      </c>
    </row>
    <row r="312" spans="1:14" x14ac:dyDescent="0.35">
      <c r="A312" t="s">
        <v>607</v>
      </c>
      <c r="B312" t="s">
        <v>53</v>
      </c>
      <c r="C312" t="s">
        <v>70</v>
      </c>
      <c r="D312">
        <v>1</v>
      </c>
      <c r="E312">
        <v>0</v>
      </c>
      <c r="F312">
        <v>0</v>
      </c>
      <c r="G312" s="1">
        <v>45692</v>
      </c>
      <c r="H312" t="s">
        <v>608</v>
      </c>
      <c r="I312" t="str">
        <f t="shared" si="25"/>
        <v>Check Price</v>
      </c>
      <c r="J312" t="str">
        <f t="shared" si="26"/>
        <v>Zero Sale</v>
      </c>
      <c r="K312" t="str">
        <f t="shared" si="27"/>
        <v>Unique</v>
      </c>
      <c r="L312" t="str">
        <f t="shared" si="28"/>
        <v>OK</v>
      </c>
      <c r="M312" t="str">
        <f t="shared" si="29"/>
        <v>EXCEPTION</v>
      </c>
      <c r="N312" t="str">
        <f t="shared" si="24"/>
        <v>Price Issue, Zero Sale</v>
      </c>
    </row>
    <row r="313" spans="1:14" x14ac:dyDescent="0.35">
      <c r="A313" t="s">
        <v>609</v>
      </c>
      <c r="B313" t="s">
        <v>89</v>
      </c>
      <c r="C313" t="s">
        <v>90</v>
      </c>
      <c r="D313">
        <v>1</v>
      </c>
      <c r="E313">
        <v>20653.63</v>
      </c>
      <c r="F313">
        <v>20653.63</v>
      </c>
      <c r="G313" s="1">
        <v>45772</v>
      </c>
      <c r="H313" t="s">
        <v>610</v>
      </c>
      <c r="I313" t="str">
        <f t="shared" si="25"/>
        <v>OK</v>
      </c>
      <c r="J313" t="str">
        <f t="shared" si="26"/>
        <v>OK</v>
      </c>
      <c r="K313" t="str">
        <f t="shared" si="27"/>
        <v>Unique</v>
      </c>
      <c r="L313" t="str">
        <f t="shared" si="28"/>
        <v>OK</v>
      </c>
      <c r="M313" t="str">
        <f t="shared" si="29"/>
        <v>CLEAN</v>
      </c>
      <c r="N313" t="str">
        <f t="shared" si="24"/>
        <v/>
      </c>
    </row>
    <row r="314" spans="1:14" x14ac:dyDescent="0.35">
      <c r="A314" t="s">
        <v>1047</v>
      </c>
      <c r="B314" t="s">
        <v>20</v>
      </c>
      <c r="C314" t="s">
        <v>17</v>
      </c>
      <c r="D314">
        <v>1</v>
      </c>
      <c r="E314">
        <v>178386.27</v>
      </c>
      <c r="F314">
        <v>178386.27</v>
      </c>
      <c r="G314" s="1">
        <v>45350</v>
      </c>
      <c r="H314" t="s">
        <v>611</v>
      </c>
      <c r="I314" t="str">
        <f t="shared" si="25"/>
        <v>OK</v>
      </c>
      <c r="J314" t="str">
        <f t="shared" si="26"/>
        <v>OK</v>
      </c>
      <c r="K314" t="str">
        <f t="shared" si="27"/>
        <v>Unique</v>
      </c>
      <c r="L314" t="str">
        <f t="shared" si="28"/>
        <v>OK</v>
      </c>
      <c r="M314" t="str">
        <f t="shared" si="29"/>
        <v>CLEAN</v>
      </c>
      <c r="N314" t="str">
        <f t="shared" si="24"/>
        <v/>
      </c>
    </row>
    <row r="315" spans="1:14" x14ac:dyDescent="0.35">
      <c r="A315" t="s">
        <v>612</v>
      </c>
      <c r="B315" t="s">
        <v>16</v>
      </c>
      <c r="C315" t="s">
        <v>46</v>
      </c>
      <c r="D315">
        <v>1</v>
      </c>
      <c r="E315">
        <v>134209.1</v>
      </c>
      <c r="F315">
        <v>134209.1</v>
      </c>
      <c r="G315" s="1">
        <v>45579</v>
      </c>
      <c r="H315" t="s">
        <v>613</v>
      </c>
      <c r="I315" t="str">
        <f t="shared" si="25"/>
        <v>OK</v>
      </c>
      <c r="J315" t="str">
        <f t="shared" si="26"/>
        <v>OK</v>
      </c>
      <c r="K315" t="str">
        <f t="shared" si="27"/>
        <v>Unique</v>
      </c>
      <c r="L315" t="str">
        <f t="shared" si="28"/>
        <v>OK</v>
      </c>
      <c r="M315" t="str">
        <f t="shared" si="29"/>
        <v>CLEAN</v>
      </c>
      <c r="N315" t="str">
        <f t="shared" si="24"/>
        <v/>
      </c>
    </row>
    <row r="316" spans="1:14" x14ac:dyDescent="0.35">
      <c r="A316" t="s">
        <v>614</v>
      </c>
      <c r="B316" t="s">
        <v>105</v>
      </c>
      <c r="C316" t="s">
        <v>55</v>
      </c>
      <c r="D316">
        <v>16</v>
      </c>
      <c r="E316">
        <v>201771.08</v>
      </c>
      <c r="F316">
        <v>3228337.28</v>
      </c>
      <c r="G316" s="1">
        <v>45379</v>
      </c>
      <c r="H316" t="s">
        <v>615</v>
      </c>
      <c r="I316" t="str">
        <f t="shared" si="25"/>
        <v>OK</v>
      </c>
      <c r="J316" t="str">
        <f t="shared" si="26"/>
        <v>OK</v>
      </c>
      <c r="K316" t="str">
        <f t="shared" si="27"/>
        <v>Unique</v>
      </c>
      <c r="L316" t="str">
        <f t="shared" si="28"/>
        <v>OK</v>
      </c>
      <c r="M316" t="str">
        <f t="shared" si="29"/>
        <v>CLEAN</v>
      </c>
      <c r="N316" t="str">
        <f t="shared" si="24"/>
        <v/>
      </c>
    </row>
    <row r="317" spans="1:14" x14ac:dyDescent="0.35">
      <c r="A317" t="s">
        <v>616</v>
      </c>
      <c r="B317" t="s">
        <v>26</v>
      </c>
      <c r="C317" t="s">
        <v>23</v>
      </c>
      <c r="D317">
        <v>1</v>
      </c>
      <c r="E317">
        <v>261727.62</v>
      </c>
      <c r="F317">
        <v>261727.62</v>
      </c>
      <c r="G317" s="1">
        <v>45512</v>
      </c>
      <c r="H317" t="s">
        <v>617</v>
      </c>
      <c r="I317" t="str">
        <f t="shared" si="25"/>
        <v>OK</v>
      </c>
      <c r="J317" t="str">
        <f t="shared" si="26"/>
        <v>OK</v>
      </c>
      <c r="K317" t="str">
        <f t="shared" si="27"/>
        <v>Unique</v>
      </c>
      <c r="L317" t="str">
        <f t="shared" si="28"/>
        <v>OK</v>
      </c>
      <c r="M317" t="str">
        <f t="shared" si="29"/>
        <v>CLEAN</v>
      </c>
      <c r="N317" t="str">
        <f t="shared" si="24"/>
        <v/>
      </c>
    </row>
    <row r="318" spans="1:14" x14ac:dyDescent="0.35">
      <c r="A318" t="s">
        <v>618</v>
      </c>
      <c r="B318" t="s">
        <v>131</v>
      </c>
      <c r="C318" t="s">
        <v>55</v>
      </c>
      <c r="D318">
        <v>1</v>
      </c>
      <c r="E318">
        <v>73797.88</v>
      </c>
      <c r="F318">
        <v>73797.88</v>
      </c>
      <c r="G318" s="1">
        <v>45761</v>
      </c>
      <c r="H318" t="s">
        <v>619</v>
      </c>
      <c r="I318" t="str">
        <f t="shared" si="25"/>
        <v>OK</v>
      </c>
      <c r="J318" t="str">
        <f t="shared" si="26"/>
        <v>OK</v>
      </c>
      <c r="K318" t="str">
        <f t="shared" si="27"/>
        <v>Unique</v>
      </c>
      <c r="L318" t="str">
        <f t="shared" si="28"/>
        <v>OK</v>
      </c>
      <c r="M318" t="str">
        <f t="shared" si="29"/>
        <v>CLEAN</v>
      </c>
      <c r="N318" t="str">
        <f t="shared" si="24"/>
        <v/>
      </c>
    </row>
    <row r="319" spans="1:14" x14ac:dyDescent="0.35">
      <c r="A319" t="s">
        <v>620</v>
      </c>
      <c r="B319" t="s">
        <v>76</v>
      </c>
      <c r="C319" t="s">
        <v>46</v>
      </c>
      <c r="D319">
        <v>59</v>
      </c>
      <c r="E319">
        <v>13748.9</v>
      </c>
      <c r="F319">
        <v>811185.1</v>
      </c>
      <c r="G319" s="1">
        <v>45513</v>
      </c>
      <c r="H319" t="s">
        <v>621</v>
      </c>
      <c r="I319" t="str">
        <f t="shared" si="25"/>
        <v>OK</v>
      </c>
      <c r="J319" t="str">
        <f t="shared" si="26"/>
        <v>OK</v>
      </c>
      <c r="K319" t="str">
        <f t="shared" si="27"/>
        <v>Unique</v>
      </c>
      <c r="L319" t="str">
        <f t="shared" si="28"/>
        <v>OK</v>
      </c>
      <c r="M319" t="str">
        <f t="shared" si="29"/>
        <v>CLEAN</v>
      </c>
      <c r="N319" t="str">
        <f t="shared" si="24"/>
        <v/>
      </c>
    </row>
    <row r="320" spans="1:14" x14ac:dyDescent="0.35">
      <c r="A320" t="s">
        <v>622</v>
      </c>
      <c r="B320" t="s">
        <v>89</v>
      </c>
      <c r="C320" t="s">
        <v>70</v>
      </c>
      <c r="D320">
        <v>1</v>
      </c>
      <c r="E320">
        <v>131969.35999999999</v>
      </c>
      <c r="F320">
        <v>131969.35999999999</v>
      </c>
      <c r="G320" s="1">
        <v>45531</v>
      </c>
      <c r="H320" t="s">
        <v>623</v>
      </c>
      <c r="I320" t="str">
        <f t="shared" si="25"/>
        <v>OK</v>
      </c>
      <c r="J320" t="str">
        <f t="shared" si="26"/>
        <v>OK</v>
      </c>
      <c r="K320" t="str">
        <f t="shared" si="27"/>
        <v>Unique</v>
      </c>
      <c r="L320" t="str">
        <f t="shared" si="28"/>
        <v>OK</v>
      </c>
      <c r="M320" t="str">
        <f t="shared" si="29"/>
        <v>CLEAN</v>
      </c>
      <c r="N320" t="str">
        <f t="shared" si="24"/>
        <v/>
      </c>
    </row>
    <row r="321" spans="1:14" x14ac:dyDescent="0.35">
      <c r="A321" t="s">
        <v>624</v>
      </c>
      <c r="B321" t="s">
        <v>37</v>
      </c>
      <c r="C321" t="s">
        <v>90</v>
      </c>
      <c r="D321">
        <v>1</v>
      </c>
      <c r="E321">
        <v>162158.06</v>
      </c>
      <c r="F321">
        <v>162158.06</v>
      </c>
      <c r="G321" s="1">
        <v>45498</v>
      </c>
      <c r="H321" t="s">
        <v>625</v>
      </c>
      <c r="I321" t="str">
        <f t="shared" si="25"/>
        <v>OK</v>
      </c>
      <c r="J321" t="str">
        <f t="shared" si="26"/>
        <v>OK</v>
      </c>
      <c r="K321" t="str">
        <f t="shared" si="27"/>
        <v>Unique</v>
      </c>
      <c r="L321" t="str">
        <f t="shared" si="28"/>
        <v>OK</v>
      </c>
      <c r="M321" t="str">
        <f t="shared" si="29"/>
        <v>CLEAN</v>
      </c>
      <c r="N321" t="str">
        <f t="shared" si="24"/>
        <v/>
      </c>
    </row>
    <row r="322" spans="1:14" x14ac:dyDescent="0.35">
      <c r="A322" t="s">
        <v>626</v>
      </c>
      <c r="B322" t="s">
        <v>11</v>
      </c>
      <c r="C322" t="s">
        <v>17</v>
      </c>
      <c r="D322">
        <v>1</v>
      </c>
      <c r="E322">
        <v>0</v>
      </c>
      <c r="F322">
        <v>0</v>
      </c>
      <c r="G322" s="1">
        <v>45668</v>
      </c>
      <c r="H322" t="s">
        <v>627</v>
      </c>
      <c r="I322" t="str">
        <f t="shared" si="25"/>
        <v>Check Price</v>
      </c>
      <c r="J322" t="str">
        <f t="shared" si="26"/>
        <v>Zero Sale</v>
      </c>
      <c r="K322" t="str">
        <f t="shared" si="27"/>
        <v>Unique</v>
      </c>
      <c r="L322" t="str">
        <f t="shared" si="28"/>
        <v>OK</v>
      </c>
      <c r="M322" t="str">
        <f t="shared" si="29"/>
        <v>EXCEPTION</v>
      </c>
      <c r="N322" t="str">
        <f t="shared" ref="N322:N385" si="30">_xlfn.TEXTJOIN(", ",TRUE,
IF(I322&lt;&gt;"OK","Price Issue",""),
IF(J322&lt;&gt;"OK","Zero Sale",""),
IF(K322&lt;&gt;"Unique","Duplicate Order",""),
IF(L322&lt;&gt;"OK","Missing Date","")
)</f>
        <v>Price Issue, Zero Sale</v>
      </c>
    </row>
    <row r="323" spans="1:14" x14ac:dyDescent="0.35">
      <c r="A323" t="s">
        <v>628</v>
      </c>
      <c r="B323" t="s">
        <v>76</v>
      </c>
      <c r="C323" t="s">
        <v>70</v>
      </c>
      <c r="D323">
        <v>1</v>
      </c>
      <c r="E323">
        <v>226438.52</v>
      </c>
      <c r="F323">
        <v>226438.52</v>
      </c>
      <c r="G323" s="1">
        <v>45555</v>
      </c>
      <c r="H323" t="s">
        <v>629</v>
      </c>
      <c r="I323" t="str">
        <f t="shared" ref="I323:I386" si="31">IF(E323=0,"Check Price","OK")</f>
        <v>OK</v>
      </c>
      <c r="J323" t="str">
        <f t="shared" ref="J323:J386" si="32">IF(F323=0,"Zero Sale","OK")</f>
        <v>OK</v>
      </c>
      <c r="K323" t="str">
        <f t="shared" ref="K323:K386" si="33">IF(COUNTIF($H:$H,H323)&gt;1,"Duplicate","Unique")</f>
        <v>Unique</v>
      </c>
      <c r="L323" t="str">
        <f t="shared" ref="L323:L386" si="34">IF(G323="","Missing Date","OK")</f>
        <v>OK</v>
      </c>
      <c r="M323" t="str">
        <f t="shared" ref="M323:M386" si="35">IF(COUNTIF(I323:J323,"&lt;&gt;OK")&gt;0,"EXCEPTION","CLEAN")</f>
        <v>CLEAN</v>
      </c>
      <c r="N323" t="str">
        <f t="shared" si="30"/>
        <v/>
      </c>
    </row>
    <row r="324" spans="1:14" x14ac:dyDescent="0.35">
      <c r="A324" t="s">
        <v>630</v>
      </c>
      <c r="B324" t="s">
        <v>61</v>
      </c>
      <c r="C324" t="s">
        <v>90</v>
      </c>
      <c r="D324">
        <v>1</v>
      </c>
      <c r="E324">
        <v>232931.05</v>
      </c>
      <c r="F324">
        <v>232931.05</v>
      </c>
      <c r="G324" s="1">
        <v>45350</v>
      </c>
      <c r="H324" t="s">
        <v>1122</v>
      </c>
      <c r="I324" t="str">
        <f t="shared" si="31"/>
        <v>OK</v>
      </c>
      <c r="J324" t="str">
        <f t="shared" si="32"/>
        <v>OK</v>
      </c>
      <c r="K324" t="str">
        <f t="shared" si="33"/>
        <v>Unique</v>
      </c>
      <c r="L324" t="str">
        <f t="shared" si="34"/>
        <v>OK</v>
      </c>
      <c r="M324" t="str">
        <f t="shared" si="35"/>
        <v>CLEAN</v>
      </c>
      <c r="N324" t="str">
        <f t="shared" si="30"/>
        <v/>
      </c>
    </row>
    <row r="325" spans="1:14" x14ac:dyDescent="0.35">
      <c r="A325" t="s">
        <v>631</v>
      </c>
      <c r="B325" t="s">
        <v>79</v>
      </c>
      <c r="C325" t="s">
        <v>27</v>
      </c>
      <c r="D325">
        <v>1</v>
      </c>
      <c r="E325">
        <v>42470.6</v>
      </c>
      <c r="F325">
        <v>42470.6</v>
      </c>
      <c r="G325" s="1">
        <v>45486</v>
      </c>
      <c r="H325" t="s">
        <v>632</v>
      </c>
      <c r="I325" t="str">
        <f t="shared" si="31"/>
        <v>OK</v>
      </c>
      <c r="J325" t="str">
        <f t="shared" si="32"/>
        <v>OK</v>
      </c>
      <c r="K325" t="str">
        <f t="shared" si="33"/>
        <v>Unique</v>
      </c>
      <c r="L325" t="str">
        <f t="shared" si="34"/>
        <v>OK</v>
      </c>
      <c r="M325" t="str">
        <f t="shared" si="35"/>
        <v>CLEAN</v>
      </c>
      <c r="N325" t="str">
        <f t="shared" si="30"/>
        <v/>
      </c>
    </row>
    <row r="326" spans="1:14" x14ac:dyDescent="0.35">
      <c r="A326" t="s">
        <v>633</v>
      </c>
      <c r="B326" t="s">
        <v>31</v>
      </c>
      <c r="C326" t="s">
        <v>55</v>
      </c>
      <c r="D326">
        <v>55</v>
      </c>
      <c r="E326">
        <v>298048.28999999998</v>
      </c>
      <c r="F326">
        <v>16392655.949999999</v>
      </c>
      <c r="G326" s="1">
        <v>45751</v>
      </c>
      <c r="H326" t="s">
        <v>634</v>
      </c>
      <c r="I326" t="str">
        <f t="shared" si="31"/>
        <v>OK</v>
      </c>
      <c r="J326" t="str">
        <f t="shared" si="32"/>
        <v>OK</v>
      </c>
      <c r="K326" t="str">
        <f t="shared" si="33"/>
        <v>Unique</v>
      </c>
      <c r="L326" t="str">
        <f t="shared" si="34"/>
        <v>OK</v>
      </c>
      <c r="M326" t="str">
        <f t="shared" si="35"/>
        <v>CLEAN</v>
      </c>
      <c r="N326" t="str">
        <f t="shared" si="30"/>
        <v/>
      </c>
    </row>
    <row r="327" spans="1:14" x14ac:dyDescent="0.35">
      <c r="A327" t="s">
        <v>1047</v>
      </c>
      <c r="B327" t="s">
        <v>37</v>
      </c>
      <c r="C327" t="s">
        <v>17</v>
      </c>
      <c r="D327">
        <v>1</v>
      </c>
      <c r="E327">
        <v>70631.37</v>
      </c>
      <c r="F327">
        <v>70631.37</v>
      </c>
      <c r="G327" s="1">
        <v>45130</v>
      </c>
      <c r="H327" t="s">
        <v>635</v>
      </c>
      <c r="I327" t="str">
        <f t="shared" si="31"/>
        <v>OK</v>
      </c>
      <c r="J327" t="str">
        <f t="shared" si="32"/>
        <v>OK</v>
      </c>
      <c r="K327" t="str">
        <f t="shared" si="33"/>
        <v>Unique</v>
      </c>
      <c r="L327" t="str">
        <f t="shared" si="34"/>
        <v>OK</v>
      </c>
      <c r="M327" t="str">
        <f t="shared" si="35"/>
        <v>CLEAN</v>
      </c>
      <c r="N327" t="str">
        <f t="shared" si="30"/>
        <v/>
      </c>
    </row>
    <row r="328" spans="1:14" x14ac:dyDescent="0.35">
      <c r="A328" t="s">
        <v>1054</v>
      </c>
      <c r="B328" t="s">
        <v>34</v>
      </c>
      <c r="C328" t="s">
        <v>17</v>
      </c>
      <c r="D328">
        <v>1</v>
      </c>
      <c r="E328">
        <v>274960.90999999997</v>
      </c>
      <c r="F328">
        <v>274960.90999999997</v>
      </c>
      <c r="G328" s="1">
        <v>45404</v>
      </c>
      <c r="H328" t="s">
        <v>636</v>
      </c>
      <c r="I328" t="str">
        <f t="shared" si="31"/>
        <v>OK</v>
      </c>
      <c r="J328" t="str">
        <f t="shared" si="32"/>
        <v>OK</v>
      </c>
      <c r="K328" t="str">
        <f t="shared" si="33"/>
        <v>Unique</v>
      </c>
      <c r="L328" t="str">
        <f t="shared" si="34"/>
        <v>OK</v>
      </c>
      <c r="M328" t="str">
        <f t="shared" si="35"/>
        <v>CLEAN</v>
      </c>
      <c r="N328" t="str">
        <f t="shared" si="30"/>
        <v/>
      </c>
    </row>
    <row r="329" spans="1:14" x14ac:dyDescent="0.35">
      <c r="A329" t="s">
        <v>637</v>
      </c>
      <c r="B329" t="s">
        <v>53</v>
      </c>
      <c r="C329" t="s">
        <v>90</v>
      </c>
      <c r="D329">
        <v>54</v>
      </c>
      <c r="E329">
        <v>173045.05</v>
      </c>
      <c r="F329">
        <v>9344432.6999999993</v>
      </c>
      <c r="G329" s="1">
        <v>45375</v>
      </c>
      <c r="H329" t="s">
        <v>638</v>
      </c>
      <c r="I329" t="str">
        <f t="shared" si="31"/>
        <v>OK</v>
      </c>
      <c r="J329" t="str">
        <f t="shared" si="32"/>
        <v>OK</v>
      </c>
      <c r="K329" t="str">
        <f t="shared" si="33"/>
        <v>Unique</v>
      </c>
      <c r="L329" t="str">
        <f t="shared" si="34"/>
        <v>OK</v>
      </c>
      <c r="M329" t="str">
        <f t="shared" si="35"/>
        <v>CLEAN</v>
      </c>
      <c r="N329" t="str">
        <f t="shared" si="30"/>
        <v/>
      </c>
    </row>
    <row r="330" spans="1:14" x14ac:dyDescent="0.35">
      <c r="A330" t="s">
        <v>639</v>
      </c>
      <c r="B330" t="s">
        <v>58</v>
      </c>
      <c r="C330" t="s">
        <v>27</v>
      </c>
      <c r="D330">
        <v>1</v>
      </c>
      <c r="E330">
        <v>173453.71</v>
      </c>
      <c r="F330">
        <v>173453.71</v>
      </c>
      <c r="G330" s="1">
        <v>45641</v>
      </c>
      <c r="H330" t="s">
        <v>640</v>
      </c>
      <c r="I330" t="str">
        <f t="shared" si="31"/>
        <v>OK</v>
      </c>
      <c r="J330" t="str">
        <f t="shared" si="32"/>
        <v>OK</v>
      </c>
      <c r="K330" t="str">
        <f t="shared" si="33"/>
        <v>Unique</v>
      </c>
      <c r="L330" t="str">
        <f t="shared" si="34"/>
        <v>OK</v>
      </c>
      <c r="M330" t="str">
        <f t="shared" si="35"/>
        <v>CLEAN</v>
      </c>
      <c r="N330" t="str">
        <f t="shared" si="30"/>
        <v/>
      </c>
    </row>
    <row r="331" spans="1:14" x14ac:dyDescent="0.35">
      <c r="A331" t="s">
        <v>641</v>
      </c>
      <c r="B331" t="s">
        <v>16</v>
      </c>
      <c r="C331" t="s">
        <v>23</v>
      </c>
      <c r="D331">
        <v>1</v>
      </c>
      <c r="E331">
        <v>231875.19</v>
      </c>
      <c r="F331">
        <v>231875.19</v>
      </c>
      <c r="G331" s="1">
        <v>45203</v>
      </c>
      <c r="H331" t="s">
        <v>642</v>
      </c>
      <c r="I331" t="str">
        <f t="shared" si="31"/>
        <v>OK</v>
      </c>
      <c r="J331" t="str">
        <f t="shared" si="32"/>
        <v>OK</v>
      </c>
      <c r="K331" t="str">
        <f t="shared" si="33"/>
        <v>Unique</v>
      </c>
      <c r="L331" t="str">
        <f t="shared" si="34"/>
        <v>OK</v>
      </c>
      <c r="M331" t="str">
        <f t="shared" si="35"/>
        <v>CLEAN</v>
      </c>
      <c r="N331" t="str">
        <f t="shared" si="30"/>
        <v/>
      </c>
    </row>
    <row r="332" spans="1:14" x14ac:dyDescent="0.35">
      <c r="A332" t="s">
        <v>643</v>
      </c>
      <c r="B332" t="s">
        <v>26</v>
      </c>
      <c r="C332" t="s">
        <v>12</v>
      </c>
      <c r="D332">
        <v>47</v>
      </c>
      <c r="E332">
        <v>0</v>
      </c>
      <c r="F332">
        <v>0</v>
      </c>
      <c r="G332" s="1">
        <v>45441</v>
      </c>
      <c r="H332" t="s">
        <v>644</v>
      </c>
      <c r="I332" t="str">
        <f t="shared" si="31"/>
        <v>Check Price</v>
      </c>
      <c r="J332" t="str">
        <f t="shared" si="32"/>
        <v>Zero Sale</v>
      </c>
      <c r="K332" t="str">
        <f t="shared" si="33"/>
        <v>Unique</v>
      </c>
      <c r="L332" t="str">
        <f t="shared" si="34"/>
        <v>OK</v>
      </c>
      <c r="M332" t="str">
        <f t="shared" si="35"/>
        <v>EXCEPTION</v>
      </c>
      <c r="N332" t="str">
        <f t="shared" si="30"/>
        <v>Price Issue, Zero Sale</v>
      </c>
    </row>
    <row r="333" spans="1:14" x14ac:dyDescent="0.35">
      <c r="A333" t="s">
        <v>645</v>
      </c>
      <c r="B333" t="s">
        <v>109</v>
      </c>
      <c r="C333" t="s">
        <v>23</v>
      </c>
      <c r="D333">
        <v>1</v>
      </c>
      <c r="E333">
        <v>245605.56</v>
      </c>
      <c r="F333">
        <v>245605.56</v>
      </c>
      <c r="G333" s="1">
        <v>45571</v>
      </c>
      <c r="H333" t="s">
        <v>646</v>
      </c>
      <c r="I333" t="str">
        <f t="shared" si="31"/>
        <v>OK</v>
      </c>
      <c r="J333" t="str">
        <f t="shared" si="32"/>
        <v>OK</v>
      </c>
      <c r="K333" t="str">
        <f t="shared" si="33"/>
        <v>Unique</v>
      </c>
      <c r="L333" t="str">
        <f t="shared" si="34"/>
        <v>OK</v>
      </c>
      <c r="M333" t="str">
        <f t="shared" si="35"/>
        <v>CLEAN</v>
      </c>
      <c r="N333" t="str">
        <f t="shared" si="30"/>
        <v/>
      </c>
    </row>
    <row r="334" spans="1:14" x14ac:dyDescent="0.35">
      <c r="A334" t="s">
        <v>647</v>
      </c>
      <c r="B334" t="s">
        <v>37</v>
      </c>
      <c r="C334" t="s">
        <v>17</v>
      </c>
      <c r="D334">
        <v>1</v>
      </c>
      <c r="E334">
        <v>71452.759999999995</v>
      </c>
      <c r="F334">
        <v>71452.759999999995</v>
      </c>
      <c r="G334" s="1">
        <v>45356</v>
      </c>
      <c r="H334" t="s">
        <v>648</v>
      </c>
      <c r="I334" t="str">
        <f t="shared" si="31"/>
        <v>OK</v>
      </c>
      <c r="J334" t="str">
        <f t="shared" si="32"/>
        <v>OK</v>
      </c>
      <c r="K334" t="str">
        <f t="shared" si="33"/>
        <v>Unique</v>
      </c>
      <c r="L334" t="str">
        <f t="shared" si="34"/>
        <v>OK</v>
      </c>
      <c r="M334" t="str">
        <f t="shared" si="35"/>
        <v>CLEAN</v>
      </c>
      <c r="N334" t="str">
        <f t="shared" si="30"/>
        <v/>
      </c>
    </row>
    <row r="335" spans="1:14" x14ac:dyDescent="0.35">
      <c r="A335" t="s">
        <v>649</v>
      </c>
      <c r="B335" t="s">
        <v>20</v>
      </c>
      <c r="C335" t="s">
        <v>17</v>
      </c>
      <c r="D335">
        <v>71</v>
      </c>
      <c r="E335">
        <v>262939.37</v>
      </c>
      <c r="F335">
        <v>18668695.27</v>
      </c>
      <c r="G335" s="1">
        <v>45736</v>
      </c>
      <c r="H335" t="s">
        <v>650</v>
      </c>
      <c r="I335" t="str">
        <f t="shared" si="31"/>
        <v>OK</v>
      </c>
      <c r="J335" t="str">
        <f t="shared" si="32"/>
        <v>OK</v>
      </c>
      <c r="K335" t="str">
        <f t="shared" si="33"/>
        <v>Unique</v>
      </c>
      <c r="L335" t="str">
        <f t="shared" si="34"/>
        <v>OK</v>
      </c>
      <c r="M335" t="str">
        <f t="shared" si="35"/>
        <v>CLEAN</v>
      </c>
      <c r="N335" t="str">
        <f t="shared" si="30"/>
        <v/>
      </c>
    </row>
    <row r="336" spans="1:14" x14ac:dyDescent="0.35">
      <c r="A336" t="s">
        <v>651</v>
      </c>
      <c r="B336" t="s">
        <v>109</v>
      </c>
      <c r="C336" t="s">
        <v>46</v>
      </c>
      <c r="D336">
        <v>1</v>
      </c>
      <c r="E336">
        <v>295715.82</v>
      </c>
      <c r="F336">
        <v>295715.82</v>
      </c>
      <c r="G336" s="1">
        <v>45816</v>
      </c>
      <c r="H336" t="s">
        <v>652</v>
      </c>
      <c r="I336" t="str">
        <f t="shared" si="31"/>
        <v>OK</v>
      </c>
      <c r="J336" t="str">
        <f t="shared" si="32"/>
        <v>OK</v>
      </c>
      <c r="K336" t="str">
        <f t="shared" si="33"/>
        <v>Unique</v>
      </c>
      <c r="L336" t="str">
        <f t="shared" si="34"/>
        <v>OK</v>
      </c>
      <c r="M336" t="str">
        <f t="shared" si="35"/>
        <v>CLEAN</v>
      </c>
      <c r="N336" t="str">
        <f t="shared" si="30"/>
        <v/>
      </c>
    </row>
    <row r="337" spans="1:14" x14ac:dyDescent="0.35">
      <c r="A337" t="s">
        <v>653</v>
      </c>
      <c r="B337" t="s">
        <v>131</v>
      </c>
      <c r="C337" t="s">
        <v>90</v>
      </c>
      <c r="D337">
        <v>1</v>
      </c>
      <c r="E337">
        <v>156614.69</v>
      </c>
      <c r="F337">
        <v>156614.69</v>
      </c>
      <c r="G337" s="1">
        <v>45681</v>
      </c>
      <c r="H337" t="s">
        <v>654</v>
      </c>
      <c r="I337" t="str">
        <f t="shared" si="31"/>
        <v>OK</v>
      </c>
      <c r="J337" t="str">
        <f t="shared" si="32"/>
        <v>OK</v>
      </c>
      <c r="K337" t="str">
        <f t="shared" si="33"/>
        <v>Unique</v>
      </c>
      <c r="L337" t="str">
        <f t="shared" si="34"/>
        <v>OK</v>
      </c>
      <c r="M337" t="str">
        <f t="shared" si="35"/>
        <v>CLEAN</v>
      </c>
      <c r="N337" t="str">
        <f t="shared" si="30"/>
        <v/>
      </c>
    </row>
    <row r="338" spans="1:14" x14ac:dyDescent="0.35">
      <c r="A338" t="s">
        <v>655</v>
      </c>
      <c r="B338" t="s">
        <v>85</v>
      </c>
      <c r="C338" t="s">
        <v>27</v>
      </c>
      <c r="D338">
        <v>1</v>
      </c>
      <c r="E338">
        <v>124361.28</v>
      </c>
      <c r="F338">
        <v>124361.28</v>
      </c>
      <c r="G338" s="1">
        <v>45795</v>
      </c>
      <c r="H338" t="s">
        <v>1123</v>
      </c>
      <c r="I338" t="str">
        <f t="shared" si="31"/>
        <v>OK</v>
      </c>
      <c r="J338" t="str">
        <f t="shared" si="32"/>
        <v>OK</v>
      </c>
      <c r="K338" t="str">
        <f t="shared" si="33"/>
        <v>Unique</v>
      </c>
      <c r="L338" t="str">
        <f t="shared" si="34"/>
        <v>OK</v>
      </c>
      <c r="M338" t="str">
        <f t="shared" si="35"/>
        <v>CLEAN</v>
      </c>
      <c r="N338" t="str">
        <f t="shared" si="30"/>
        <v/>
      </c>
    </row>
    <row r="339" spans="1:14" x14ac:dyDescent="0.35">
      <c r="A339" t="s">
        <v>656</v>
      </c>
      <c r="B339" t="s">
        <v>76</v>
      </c>
      <c r="C339" t="s">
        <v>12</v>
      </c>
      <c r="D339">
        <v>1</v>
      </c>
      <c r="E339">
        <v>82908.600000000006</v>
      </c>
      <c r="F339">
        <v>82908.600000000006</v>
      </c>
      <c r="G339" s="1">
        <v>45652</v>
      </c>
      <c r="H339" t="s">
        <v>657</v>
      </c>
      <c r="I339" t="str">
        <f t="shared" si="31"/>
        <v>OK</v>
      </c>
      <c r="J339" t="str">
        <f t="shared" si="32"/>
        <v>OK</v>
      </c>
      <c r="K339" t="str">
        <f t="shared" si="33"/>
        <v>Unique</v>
      </c>
      <c r="L339" t="str">
        <f t="shared" si="34"/>
        <v>OK</v>
      </c>
      <c r="M339" t="str">
        <f t="shared" si="35"/>
        <v>CLEAN</v>
      </c>
      <c r="N339" t="str">
        <f t="shared" si="30"/>
        <v/>
      </c>
    </row>
    <row r="340" spans="1:14" x14ac:dyDescent="0.35">
      <c r="A340" t="s">
        <v>1047</v>
      </c>
      <c r="B340" t="s">
        <v>34</v>
      </c>
      <c r="C340" t="s">
        <v>23</v>
      </c>
      <c r="D340">
        <v>1</v>
      </c>
      <c r="E340">
        <v>167237.07999999999</v>
      </c>
      <c r="F340">
        <v>167237.07999999999</v>
      </c>
      <c r="G340" s="1">
        <v>45606</v>
      </c>
      <c r="H340" t="s">
        <v>658</v>
      </c>
      <c r="I340" t="str">
        <f t="shared" si="31"/>
        <v>OK</v>
      </c>
      <c r="J340" t="str">
        <f t="shared" si="32"/>
        <v>OK</v>
      </c>
      <c r="K340" t="str">
        <f t="shared" si="33"/>
        <v>Unique</v>
      </c>
      <c r="L340" t="str">
        <f t="shared" si="34"/>
        <v>OK</v>
      </c>
      <c r="M340" t="str">
        <f t="shared" si="35"/>
        <v>CLEAN</v>
      </c>
      <c r="N340" t="str">
        <f t="shared" si="30"/>
        <v/>
      </c>
    </row>
    <row r="341" spans="1:14" x14ac:dyDescent="0.35">
      <c r="A341" t="s">
        <v>659</v>
      </c>
      <c r="B341" t="s">
        <v>131</v>
      </c>
      <c r="C341" t="s">
        <v>90</v>
      </c>
      <c r="D341">
        <v>1</v>
      </c>
      <c r="E341">
        <v>177704.3</v>
      </c>
      <c r="F341">
        <v>177704.3</v>
      </c>
      <c r="G341" s="1">
        <v>45138</v>
      </c>
      <c r="H341" t="s">
        <v>660</v>
      </c>
      <c r="I341" t="str">
        <f t="shared" si="31"/>
        <v>OK</v>
      </c>
      <c r="J341" t="str">
        <f t="shared" si="32"/>
        <v>OK</v>
      </c>
      <c r="K341" t="str">
        <f t="shared" si="33"/>
        <v>Unique</v>
      </c>
      <c r="L341" t="str">
        <f t="shared" si="34"/>
        <v>OK</v>
      </c>
      <c r="M341" t="str">
        <f t="shared" si="35"/>
        <v>CLEAN</v>
      </c>
      <c r="N341" t="str">
        <f t="shared" si="30"/>
        <v/>
      </c>
    </row>
    <row r="342" spans="1:14" x14ac:dyDescent="0.35">
      <c r="A342" t="s">
        <v>661</v>
      </c>
      <c r="B342" t="s">
        <v>61</v>
      </c>
      <c r="C342" t="s">
        <v>70</v>
      </c>
      <c r="D342">
        <v>1</v>
      </c>
      <c r="E342">
        <v>0</v>
      </c>
      <c r="F342">
        <v>0</v>
      </c>
      <c r="G342" s="1">
        <v>45581</v>
      </c>
      <c r="H342" t="s">
        <v>662</v>
      </c>
      <c r="I342" t="str">
        <f t="shared" si="31"/>
        <v>Check Price</v>
      </c>
      <c r="J342" t="str">
        <f t="shared" si="32"/>
        <v>Zero Sale</v>
      </c>
      <c r="K342" t="str">
        <f t="shared" si="33"/>
        <v>Unique</v>
      </c>
      <c r="L342" t="str">
        <f t="shared" si="34"/>
        <v>OK</v>
      </c>
      <c r="M342" t="str">
        <f t="shared" si="35"/>
        <v>EXCEPTION</v>
      </c>
      <c r="N342" t="str">
        <f t="shared" si="30"/>
        <v>Price Issue, Zero Sale</v>
      </c>
    </row>
    <row r="343" spans="1:14" x14ac:dyDescent="0.35">
      <c r="A343" t="s">
        <v>663</v>
      </c>
      <c r="B343" t="s">
        <v>58</v>
      </c>
      <c r="C343" t="s">
        <v>46</v>
      </c>
      <c r="D343">
        <v>1</v>
      </c>
      <c r="E343">
        <v>220696.03</v>
      </c>
      <c r="F343">
        <v>220696.03</v>
      </c>
      <c r="G343" s="1">
        <v>45486</v>
      </c>
      <c r="H343" t="s">
        <v>664</v>
      </c>
      <c r="I343" t="str">
        <f t="shared" si="31"/>
        <v>OK</v>
      </c>
      <c r="J343" t="str">
        <f t="shared" si="32"/>
        <v>OK</v>
      </c>
      <c r="K343" t="str">
        <f t="shared" si="33"/>
        <v>Unique</v>
      </c>
      <c r="L343" t="str">
        <f t="shared" si="34"/>
        <v>OK</v>
      </c>
      <c r="M343" t="str">
        <f t="shared" si="35"/>
        <v>CLEAN</v>
      </c>
      <c r="N343" t="str">
        <f t="shared" si="30"/>
        <v/>
      </c>
    </row>
    <row r="344" spans="1:14" x14ac:dyDescent="0.35">
      <c r="A344" t="s">
        <v>665</v>
      </c>
      <c r="B344" t="s">
        <v>11</v>
      </c>
      <c r="C344" t="s">
        <v>27</v>
      </c>
      <c r="D344">
        <v>1</v>
      </c>
      <c r="E344">
        <v>52952.39</v>
      </c>
      <c r="F344">
        <v>52952.39</v>
      </c>
      <c r="G344" s="1">
        <v>45324</v>
      </c>
      <c r="H344" t="s">
        <v>666</v>
      </c>
      <c r="I344" t="str">
        <f t="shared" si="31"/>
        <v>OK</v>
      </c>
      <c r="J344" t="str">
        <f t="shared" si="32"/>
        <v>OK</v>
      </c>
      <c r="K344" t="str">
        <f t="shared" si="33"/>
        <v>Unique</v>
      </c>
      <c r="L344" t="str">
        <f t="shared" si="34"/>
        <v>OK</v>
      </c>
      <c r="M344" t="str">
        <f t="shared" si="35"/>
        <v>CLEAN</v>
      </c>
      <c r="N344" t="str">
        <f t="shared" si="30"/>
        <v/>
      </c>
    </row>
    <row r="345" spans="1:14" x14ac:dyDescent="0.35">
      <c r="A345" t="s">
        <v>667</v>
      </c>
      <c r="B345" t="s">
        <v>34</v>
      </c>
      <c r="C345" t="s">
        <v>46</v>
      </c>
      <c r="D345">
        <v>1</v>
      </c>
      <c r="E345">
        <v>203785.66</v>
      </c>
      <c r="F345">
        <v>203785.66</v>
      </c>
      <c r="G345" s="1">
        <v>45627</v>
      </c>
      <c r="H345" t="s">
        <v>668</v>
      </c>
      <c r="I345" t="str">
        <f t="shared" si="31"/>
        <v>OK</v>
      </c>
      <c r="J345" t="str">
        <f t="shared" si="32"/>
        <v>OK</v>
      </c>
      <c r="K345" t="str">
        <f t="shared" si="33"/>
        <v>Unique</v>
      </c>
      <c r="L345" t="str">
        <f t="shared" si="34"/>
        <v>OK</v>
      </c>
      <c r="M345" t="str">
        <f t="shared" si="35"/>
        <v>CLEAN</v>
      </c>
      <c r="N345" t="str">
        <f t="shared" si="30"/>
        <v/>
      </c>
    </row>
    <row r="346" spans="1:14" x14ac:dyDescent="0.35">
      <c r="A346" t="s">
        <v>669</v>
      </c>
      <c r="B346" t="s">
        <v>131</v>
      </c>
      <c r="C346" t="s">
        <v>17</v>
      </c>
      <c r="D346">
        <v>18</v>
      </c>
      <c r="E346">
        <v>166977.26999999999</v>
      </c>
      <c r="F346">
        <v>3005590.86</v>
      </c>
      <c r="G346" s="1">
        <v>45726</v>
      </c>
      <c r="H346" t="s">
        <v>670</v>
      </c>
      <c r="I346" t="str">
        <f t="shared" si="31"/>
        <v>OK</v>
      </c>
      <c r="J346" t="str">
        <f t="shared" si="32"/>
        <v>OK</v>
      </c>
      <c r="K346" t="str">
        <f t="shared" si="33"/>
        <v>Unique</v>
      </c>
      <c r="L346" t="str">
        <f t="shared" si="34"/>
        <v>OK</v>
      </c>
      <c r="M346" t="str">
        <f t="shared" si="35"/>
        <v>CLEAN</v>
      </c>
      <c r="N346" t="str">
        <f t="shared" si="30"/>
        <v/>
      </c>
    </row>
    <row r="347" spans="1:14" x14ac:dyDescent="0.35">
      <c r="A347" t="s">
        <v>671</v>
      </c>
      <c r="B347" t="s">
        <v>31</v>
      </c>
      <c r="C347" t="s">
        <v>46</v>
      </c>
      <c r="D347">
        <v>1</v>
      </c>
      <c r="E347">
        <v>14541.79</v>
      </c>
      <c r="F347">
        <v>14541.79</v>
      </c>
      <c r="G347" s="1">
        <v>45720</v>
      </c>
      <c r="H347" t="s">
        <v>672</v>
      </c>
      <c r="I347" t="str">
        <f t="shared" si="31"/>
        <v>OK</v>
      </c>
      <c r="J347" t="str">
        <f t="shared" si="32"/>
        <v>OK</v>
      </c>
      <c r="K347" t="str">
        <f t="shared" si="33"/>
        <v>Unique</v>
      </c>
      <c r="L347" t="str">
        <f t="shared" si="34"/>
        <v>OK</v>
      </c>
      <c r="M347" t="str">
        <f t="shared" si="35"/>
        <v>CLEAN</v>
      </c>
      <c r="N347" t="str">
        <f t="shared" si="30"/>
        <v/>
      </c>
    </row>
    <row r="348" spans="1:14" x14ac:dyDescent="0.35">
      <c r="A348" t="s">
        <v>673</v>
      </c>
      <c r="B348" t="s">
        <v>26</v>
      </c>
      <c r="C348" t="s">
        <v>12</v>
      </c>
      <c r="D348">
        <v>1</v>
      </c>
      <c r="E348">
        <v>103652.24</v>
      </c>
      <c r="F348">
        <v>103652.24</v>
      </c>
      <c r="G348" s="1">
        <v>45567</v>
      </c>
      <c r="H348" t="s">
        <v>674</v>
      </c>
      <c r="I348" t="str">
        <f t="shared" si="31"/>
        <v>OK</v>
      </c>
      <c r="J348" t="str">
        <f t="shared" si="32"/>
        <v>OK</v>
      </c>
      <c r="K348" t="str">
        <f t="shared" si="33"/>
        <v>Unique</v>
      </c>
      <c r="L348" t="str">
        <f t="shared" si="34"/>
        <v>OK</v>
      </c>
      <c r="M348" t="str">
        <f t="shared" si="35"/>
        <v>CLEAN</v>
      </c>
      <c r="N348" t="str">
        <f t="shared" si="30"/>
        <v/>
      </c>
    </row>
    <row r="349" spans="1:14" x14ac:dyDescent="0.35">
      <c r="A349" t="s">
        <v>675</v>
      </c>
      <c r="B349" t="s">
        <v>16</v>
      </c>
      <c r="C349" t="s">
        <v>17</v>
      </c>
      <c r="D349">
        <v>1</v>
      </c>
      <c r="E349">
        <v>193173.16</v>
      </c>
      <c r="F349">
        <v>193173.16</v>
      </c>
      <c r="G349" s="1">
        <v>45566</v>
      </c>
      <c r="H349" t="s">
        <v>676</v>
      </c>
      <c r="I349" t="str">
        <f t="shared" si="31"/>
        <v>OK</v>
      </c>
      <c r="J349" t="str">
        <f t="shared" si="32"/>
        <v>OK</v>
      </c>
      <c r="K349" t="str">
        <f t="shared" si="33"/>
        <v>Unique</v>
      </c>
      <c r="L349" t="str">
        <f t="shared" si="34"/>
        <v>OK</v>
      </c>
      <c r="M349" t="str">
        <f t="shared" si="35"/>
        <v>CLEAN</v>
      </c>
      <c r="N349" t="str">
        <f t="shared" si="30"/>
        <v/>
      </c>
    </row>
    <row r="350" spans="1:14" x14ac:dyDescent="0.35">
      <c r="A350" t="s">
        <v>677</v>
      </c>
      <c r="B350" t="s">
        <v>31</v>
      </c>
      <c r="C350" t="s">
        <v>23</v>
      </c>
      <c r="D350">
        <v>1</v>
      </c>
      <c r="E350">
        <v>114655.81</v>
      </c>
      <c r="F350">
        <v>114655.81</v>
      </c>
      <c r="G350" s="1">
        <v>45294</v>
      </c>
      <c r="H350" t="s">
        <v>678</v>
      </c>
      <c r="I350" t="str">
        <f t="shared" si="31"/>
        <v>OK</v>
      </c>
      <c r="J350" t="str">
        <f t="shared" si="32"/>
        <v>OK</v>
      </c>
      <c r="K350" t="str">
        <f t="shared" si="33"/>
        <v>Unique</v>
      </c>
      <c r="L350" t="str">
        <f t="shared" si="34"/>
        <v>OK</v>
      </c>
      <c r="M350" t="str">
        <f t="shared" si="35"/>
        <v>CLEAN</v>
      </c>
      <c r="N350" t="str">
        <f t="shared" si="30"/>
        <v/>
      </c>
    </row>
    <row r="351" spans="1:14" x14ac:dyDescent="0.35">
      <c r="A351" t="s">
        <v>679</v>
      </c>
      <c r="B351" t="s">
        <v>31</v>
      </c>
      <c r="C351" t="s">
        <v>23</v>
      </c>
      <c r="D351">
        <v>1</v>
      </c>
      <c r="E351">
        <v>157576.69</v>
      </c>
      <c r="F351">
        <v>157576.69</v>
      </c>
      <c r="G351" s="1">
        <v>45678</v>
      </c>
      <c r="H351" t="s">
        <v>680</v>
      </c>
      <c r="I351" t="str">
        <f t="shared" si="31"/>
        <v>OK</v>
      </c>
      <c r="J351" t="str">
        <f t="shared" si="32"/>
        <v>OK</v>
      </c>
      <c r="K351" t="str">
        <f t="shared" si="33"/>
        <v>Unique</v>
      </c>
      <c r="L351" t="str">
        <f t="shared" si="34"/>
        <v>OK</v>
      </c>
      <c r="M351" t="str">
        <f t="shared" si="35"/>
        <v>CLEAN</v>
      </c>
      <c r="N351" t="str">
        <f t="shared" si="30"/>
        <v/>
      </c>
    </row>
    <row r="352" spans="1:14" x14ac:dyDescent="0.35">
      <c r="A352" t="s">
        <v>681</v>
      </c>
      <c r="B352" t="s">
        <v>34</v>
      </c>
      <c r="C352" t="s">
        <v>70</v>
      </c>
      <c r="D352">
        <v>24</v>
      </c>
      <c r="E352">
        <v>0</v>
      </c>
      <c r="F352">
        <v>0</v>
      </c>
      <c r="G352" s="1">
        <v>45157</v>
      </c>
      <c r="H352" t="s">
        <v>1124</v>
      </c>
      <c r="I352" t="str">
        <f t="shared" si="31"/>
        <v>Check Price</v>
      </c>
      <c r="J352" t="str">
        <f t="shared" si="32"/>
        <v>Zero Sale</v>
      </c>
      <c r="K352" t="str">
        <f t="shared" si="33"/>
        <v>Unique</v>
      </c>
      <c r="L352" t="str">
        <f t="shared" si="34"/>
        <v>OK</v>
      </c>
      <c r="M352" t="str">
        <f t="shared" si="35"/>
        <v>EXCEPTION</v>
      </c>
      <c r="N352" t="str">
        <f t="shared" si="30"/>
        <v>Price Issue, Zero Sale</v>
      </c>
    </row>
    <row r="353" spans="1:14" x14ac:dyDescent="0.35">
      <c r="A353" t="s">
        <v>1047</v>
      </c>
      <c r="B353" t="s">
        <v>26</v>
      </c>
      <c r="C353" t="s">
        <v>17</v>
      </c>
      <c r="D353">
        <v>1</v>
      </c>
      <c r="E353">
        <v>209044.37</v>
      </c>
      <c r="F353">
        <v>209044.37</v>
      </c>
      <c r="G353" s="1">
        <v>45571</v>
      </c>
      <c r="H353" t="s">
        <v>682</v>
      </c>
      <c r="I353" t="str">
        <f t="shared" si="31"/>
        <v>OK</v>
      </c>
      <c r="J353" t="str">
        <f t="shared" si="32"/>
        <v>OK</v>
      </c>
      <c r="K353" t="str">
        <f t="shared" si="33"/>
        <v>Unique</v>
      </c>
      <c r="L353" t="str">
        <f t="shared" si="34"/>
        <v>OK</v>
      </c>
      <c r="M353" t="str">
        <f t="shared" si="35"/>
        <v>CLEAN</v>
      </c>
      <c r="N353" t="str">
        <f t="shared" si="30"/>
        <v/>
      </c>
    </row>
    <row r="354" spans="1:14" x14ac:dyDescent="0.35">
      <c r="A354" t="s">
        <v>683</v>
      </c>
      <c r="B354" t="s">
        <v>16</v>
      </c>
      <c r="C354" t="s">
        <v>17</v>
      </c>
      <c r="D354">
        <v>1</v>
      </c>
      <c r="E354">
        <v>122773.62</v>
      </c>
      <c r="F354">
        <v>122773.62</v>
      </c>
      <c r="G354" s="1">
        <v>45491</v>
      </c>
      <c r="H354" t="s">
        <v>684</v>
      </c>
      <c r="I354" t="str">
        <f t="shared" si="31"/>
        <v>OK</v>
      </c>
      <c r="J354" t="str">
        <f t="shared" si="32"/>
        <v>OK</v>
      </c>
      <c r="K354" t="str">
        <f t="shared" si="33"/>
        <v>Unique</v>
      </c>
      <c r="L354" t="str">
        <f t="shared" si="34"/>
        <v>OK</v>
      </c>
      <c r="M354" t="str">
        <f t="shared" si="35"/>
        <v>CLEAN</v>
      </c>
      <c r="N354" t="str">
        <f t="shared" si="30"/>
        <v/>
      </c>
    </row>
    <row r="355" spans="1:14" x14ac:dyDescent="0.35">
      <c r="A355" t="s">
        <v>685</v>
      </c>
      <c r="B355" t="s">
        <v>131</v>
      </c>
      <c r="C355" t="s">
        <v>27</v>
      </c>
      <c r="D355">
        <v>1</v>
      </c>
      <c r="E355">
        <v>90316.6</v>
      </c>
      <c r="F355">
        <v>90316.6</v>
      </c>
      <c r="G355" s="1">
        <v>45250</v>
      </c>
      <c r="H355" t="s">
        <v>686</v>
      </c>
      <c r="I355" t="str">
        <f t="shared" si="31"/>
        <v>OK</v>
      </c>
      <c r="J355" t="str">
        <f t="shared" si="32"/>
        <v>OK</v>
      </c>
      <c r="K355" t="str">
        <f t="shared" si="33"/>
        <v>Unique</v>
      </c>
      <c r="L355" t="str">
        <f t="shared" si="34"/>
        <v>OK</v>
      </c>
      <c r="M355" t="str">
        <f t="shared" si="35"/>
        <v>CLEAN</v>
      </c>
      <c r="N355" t="str">
        <f t="shared" si="30"/>
        <v/>
      </c>
    </row>
    <row r="356" spans="1:14" x14ac:dyDescent="0.35">
      <c r="A356" t="s">
        <v>687</v>
      </c>
      <c r="B356" t="s">
        <v>61</v>
      </c>
      <c r="C356" t="s">
        <v>17</v>
      </c>
      <c r="D356">
        <v>26</v>
      </c>
      <c r="E356">
        <v>55571.75</v>
      </c>
      <c r="F356">
        <v>1444865.5</v>
      </c>
      <c r="G356" s="1">
        <v>45525</v>
      </c>
      <c r="H356" t="s">
        <v>688</v>
      </c>
      <c r="I356" t="str">
        <f t="shared" si="31"/>
        <v>OK</v>
      </c>
      <c r="J356" t="str">
        <f t="shared" si="32"/>
        <v>OK</v>
      </c>
      <c r="K356" t="str">
        <f t="shared" si="33"/>
        <v>Unique</v>
      </c>
      <c r="L356" t="str">
        <f t="shared" si="34"/>
        <v>OK</v>
      </c>
      <c r="M356" t="str">
        <f t="shared" si="35"/>
        <v>CLEAN</v>
      </c>
      <c r="N356" t="str">
        <f t="shared" si="30"/>
        <v/>
      </c>
    </row>
    <row r="357" spans="1:14" x14ac:dyDescent="0.35">
      <c r="A357" t="s">
        <v>689</v>
      </c>
      <c r="B357" t="s">
        <v>53</v>
      </c>
      <c r="C357" t="s">
        <v>12</v>
      </c>
      <c r="D357">
        <v>26</v>
      </c>
      <c r="E357">
        <v>161609.51999999999</v>
      </c>
      <c r="F357">
        <v>4201847.5199999996</v>
      </c>
      <c r="G357" s="1">
        <v>45606</v>
      </c>
      <c r="H357" t="s">
        <v>690</v>
      </c>
      <c r="I357" t="str">
        <f t="shared" si="31"/>
        <v>OK</v>
      </c>
      <c r="J357" t="str">
        <f t="shared" si="32"/>
        <v>OK</v>
      </c>
      <c r="K357" t="str">
        <f t="shared" si="33"/>
        <v>Unique</v>
      </c>
      <c r="L357" t="str">
        <f t="shared" si="34"/>
        <v>OK</v>
      </c>
      <c r="M357" t="str">
        <f t="shared" si="35"/>
        <v>CLEAN</v>
      </c>
      <c r="N357" t="str">
        <f t="shared" si="30"/>
        <v/>
      </c>
    </row>
    <row r="358" spans="1:14" x14ac:dyDescent="0.35">
      <c r="A358" t="s">
        <v>691</v>
      </c>
      <c r="B358" t="s">
        <v>89</v>
      </c>
      <c r="C358" t="s">
        <v>70</v>
      </c>
      <c r="D358">
        <v>1</v>
      </c>
      <c r="E358">
        <v>72669.97</v>
      </c>
      <c r="F358">
        <v>72669.97</v>
      </c>
      <c r="G358" s="1">
        <v>45678</v>
      </c>
      <c r="H358" t="s">
        <v>692</v>
      </c>
      <c r="I358" t="str">
        <f t="shared" si="31"/>
        <v>OK</v>
      </c>
      <c r="J358" t="str">
        <f t="shared" si="32"/>
        <v>OK</v>
      </c>
      <c r="K358" t="str">
        <f t="shared" si="33"/>
        <v>Unique</v>
      </c>
      <c r="L358" t="str">
        <f t="shared" si="34"/>
        <v>OK</v>
      </c>
      <c r="M358" t="str">
        <f t="shared" si="35"/>
        <v>CLEAN</v>
      </c>
      <c r="N358" t="str">
        <f t="shared" si="30"/>
        <v/>
      </c>
    </row>
    <row r="359" spans="1:14" x14ac:dyDescent="0.35">
      <c r="A359" t="s">
        <v>693</v>
      </c>
      <c r="B359" t="s">
        <v>53</v>
      </c>
      <c r="C359" t="s">
        <v>27</v>
      </c>
      <c r="D359">
        <v>1</v>
      </c>
      <c r="E359">
        <v>67990.69</v>
      </c>
      <c r="F359">
        <v>67990.69</v>
      </c>
      <c r="G359" s="1">
        <v>45599</v>
      </c>
      <c r="H359" t="s">
        <v>694</v>
      </c>
      <c r="I359" t="str">
        <f t="shared" si="31"/>
        <v>OK</v>
      </c>
      <c r="J359" t="str">
        <f t="shared" si="32"/>
        <v>OK</v>
      </c>
      <c r="K359" t="str">
        <f t="shared" si="33"/>
        <v>Unique</v>
      </c>
      <c r="L359" t="str">
        <f t="shared" si="34"/>
        <v>OK</v>
      </c>
      <c r="M359" t="str">
        <f t="shared" si="35"/>
        <v>CLEAN</v>
      </c>
      <c r="N359" t="str">
        <f t="shared" si="30"/>
        <v/>
      </c>
    </row>
    <row r="360" spans="1:14" x14ac:dyDescent="0.35">
      <c r="A360" t="s">
        <v>695</v>
      </c>
      <c r="B360" t="s">
        <v>16</v>
      </c>
      <c r="C360" t="s">
        <v>12</v>
      </c>
      <c r="D360">
        <v>1</v>
      </c>
      <c r="E360">
        <v>257333.6</v>
      </c>
      <c r="F360">
        <v>257333.6</v>
      </c>
      <c r="G360" s="1">
        <v>45719</v>
      </c>
      <c r="H360" t="s">
        <v>696</v>
      </c>
      <c r="I360" t="str">
        <f t="shared" si="31"/>
        <v>OK</v>
      </c>
      <c r="J360" t="str">
        <f t="shared" si="32"/>
        <v>OK</v>
      </c>
      <c r="K360" t="str">
        <f t="shared" si="33"/>
        <v>Unique</v>
      </c>
      <c r="L360" t="str">
        <f t="shared" si="34"/>
        <v>OK</v>
      </c>
      <c r="M360" t="str">
        <f t="shared" si="35"/>
        <v>CLEAN</v>
      </c>
      <c r="N360" t="str">
        <f t="shared" si="30"/>
        <v/>
      </c>
    </row>
    <row r="361" spans="1:14" x14ac:dyDescent="0.35">
      <c r="A361" t="s">
        <v>697</v>
      </c>
      <c r="B361" t="s">
        <v>58</v>
      </c>
      <c r="C361" t="s">
        <v>46</v>
      </c>
      <c r="D361">
        <v>33</v>
      </c>
      <c r="E361">
        <v>43733.35</v>
      </c>
      <c r="F361">
        <v>1443200.55</v>
      </c>
      <c r="G361" s="1">
        <v>45771</v>
      </c>
      <c r="H361" t="s">
        <v>698</v>
      </c>
      <c r="I361" t="str">
        <f t="shared" si="31"/>
        <v>OK</v>
      </c>
      <c r="J361" t="str">
        <f t="shared" si="32"/>
        <v>OK</v>
      </c>
      <c r="K361" t="str">
        <f t="shared" si="33"/>
        <v>Unique</v>
      </c>
      <c r="L361" t="str">
        <f t="shared" si="34"/>
        <v>OK</v>
      </c>
      <c r="M361" t="str">
        <f t="shared" si="35"/>
        <v>CLEAN</v>
      </c>
      <c r="N361" t="str">
        <f t="shared" si="30"/>
        <v/>
      </c>
    </row>
    <row r="362" spans="1:14" x14ac:dyDescent="0.35">
      <c r="A362" t="s">
        <v>699</v>
      </c>
      <c r="B362" t="s">
        <v>213</v>
      </c>
      <c r="C362" t="s">
        <v>23</v>
      </c>
      <c r="D362">
        <v>1</v>
      </c>
      <c r="E362">
        <v>0</v>
      </c>
      <c r="F362">
        <v>0</v>
      </c>
      <c r="G362" s="1">
        <v>45413</v>
      </c>
      <c r="H362" t="s">
        <v>700</v>
      </c>
      <c r="I362" t="str">
        <f t="shared" si="31"/>
        <v>Check Price</v>
      </c>
      <c r="J362" t="str">
        <f t="shared" si="32"/>
        <v>Zero Sale</v>
      </c>
      <c r="K362" t="str">
        <f t="shared" si="33"/>
        <v>Unique</v>
      </c>
      <c r="L362" t="str">
        <f t="shared" si="34"/>
        <v>OK</v>
      </c>
      <c r="M362" t="str">
        <f t="shared" si="35"/>
        <v>EXCEPTION</v>
      </c>
      <c r="N362" t="str">
        <f t="shared" si="30"/>
        <v>Price Issue, Zero Sale</v>
      </c>
    </row>
    <row r="363" spans="1:14" x14ac:dyDescent="0.35">
      <c r="A363" t="s">
        <v>701</v>
      </c>
      <c r="B363" t="s">
        <v>16</v>
      </c>
      <c r="C363" t="s">
        <v>70</v>
      </c>
      <c r="D363">
        <v>1</v>
      </c>
      <c r="E363">
        <v>139176.04</v>
      </c>
      <c r="F363">
        <v>139176.04</v>
      </c>
      <c r="G363" s="1">
        <v>45232</v>
      </c>
      <c r="H363" t="s">
        <v>702</v>
      </c>
      <c r="I363" t="str">
        <f t="shared" si="31"/>
        <v>OK</v>
      </c>
      <c r="J363" t="str">
        <f t="shared" si="32"/>
        <v>OK</v>
      </c>
      <c r="K363" t="str">
        <f t="shared" si="33"/>
        <v>Unique</v>
      </c>
      <c r="L363" t="str">
        <f t="shared" si="34"/>
        <v>OK</v>
      </c>
      <c r="M363" t="str">
        <f t="shared" si="35"/>
        <v>CLEAN</v>
      </c>
      <c r="N363" t="str">
        <f t="shared" si="30"/>
        <v/>
      </c>
    </row>
    <row r="364" spans="1:14" x14ac:dyDescent="0.35">
      <c r="A364" t="s">
        <v>703</v>
      </c>
      <c r="B364" t="s">
        <v>45</v>
      </c>
      <c r="C364" t="s">
        <v>55</v>
      </c>
      <c r="D364">
        <v>46</v>
      </c>
      <c r="E364">
        <v>17758.37</v>
      </c>
      <c r="F364">
        <v>816885.0199999999</v>
      </c>
      <c r="G364" s="1">
        <v>45756</v>
      </c>
      <c r="H364" t="s">
        <v>704</v>
      </c>
      <c r="I364" t="str">
        <f t="shared" si="31"/>
        <v>OK</v>
      </c>
      <c r="J364" t="str">
        <f t="shared" si="32"/>
        <v>OK</v>
      </c>
      <c r="K364" t="str">
        <f t="shared" si="33"/>
        <v>Unique</v>
      </c>
      <c r="L364" t="str">
        <f t="shared" si="34"/>
        <v>OK</v>
      </c>
      <c r="M364" t="str">
        <f t="shared" si="35"/>
        <v>CLEAN</v>
      </c>
      <c r="N364" t="str">
        <f t="shared" si="30"/>
        <v/>
      </c>
    </row>
    <row r="365" spans="1:14" x14ac:dyDescent="0.35">
      <c r="A365" t="s">
        <v>705</v>
      </c>
      <c r="B365" t="s">
        <v>37</v>
      </c>
      <c r="C365" t="s">
        <v>23</v>
      </c>
      <c r="D365">
        <v>1</v>
      </c>
      <c r="E365">
        <v>124096.91</v>
      </c>
      <c r="F365">
        <v>124096.91</v>
      </c>
      <c r="G365" s="1">
        <v>45646</v>
      </c>
      <c r="H365" t="s">
        <v>706</v>
      </c>
      <c r="I365" t="str">
        <f t="shared" si="31"/>
        <v>OK</v>
      </c>
      <c r="J365" t="str">
        <f t="shared" si="32"/>
        <v>OK</v>
      </c>
      <c r="K365" t="str">
        <f t="shared" si="33"/>
        <v>Unique</v>
      </c>
      <c r="L365" t="str">
        <f t="shared" si="34"/>
        <v>OK</v>
      </c>
      <c r="M365" t="str">
        <f t="shared" si="35"/>
        <v>CLEAN</v>
      </c>
      <c r="N365" t="str">
        <f t="shared" si="30"/>
        <v/>
      </c>
    </row>
    <row r="366" spans="1:14" x14ac:dyDescent="0.35">
      <c r="A366" t="s">
        <v>1047</v>
      </c>
      <c r="B366" t="s">
        <v>42</v>
      </c>
      <c r="C366" t="s">
        <v>90</v>
      </c>
      <c r="D366">
        <v>35</v>
      </c>
      <c r="E366">
        <v>125244.11</v>
      </c>
      <c r="F366">
        <v>4383543.8499999996</v>
      </c>
      <c r="G366" s="1">
        <v>45306</v>
      </c>
      <c r="H366" t="s">
        <v>1125</v>
      </c>
      <c r="I366" t="str">
        <f t="shared" si="31"/>
        <v>OK</v>
      </c>
      <c r="J366" t="str">
        <f t="shared" si="32"/>
        <v>OK</v>
      </c>
      <c r="K366" t="str">
        <f t="shared" si="33"/>
        <v>Unique</v>
      </c>
      <c r="L366" t="str">
        <f t="shared" si="34"/>
        <v>OK</v>
      </c>
      <c r="M366" t="str">
        <f t="shared" si="35"/>
        <v>CLEAN</v>
      </c>
      <c r="N366" t="str">
        <f t="shared" si="30"/>
        <v/>
      </c>
    </row>
    <row r="367" spans="1:14" x14ac:dyDescent="0.35">
      <c r="A367" t="s">
        <v>707</v>
      </c>
      <c r="B367" t="s">
        <v>16</v>
      </c>
      <c r="C367" t="s">
        <v>23</v>
      </c>
      <c r="D367">
        <v>1</v>
      </c>
      <c r="E367">
        <v>159232.54999999999</v>
      </c>
      <c r="F367">
        <v>159232.54999999999</v>
      </c>
      <c r="G367" s="1">
        <v>45142</v>
      </c>
      <c r="H367" t="s">
        <v>708</v>
      </c>
      <c r="I367" t="str">
        <f t="shared" si="31"/>
        <v>OK</v>
      </c>
      <c r="J367" t="str">
        <f t="shared" si="32"/>
        <v>OK</v>
      </c>
      <c r="K367" t="str">
        <f t="shared" si="33"/>
        <v>Unique</v>
      </c>
      <c r="L367" t="str">
        <f t="shared" si="34"/>
        <v>OK</v>
      </c>
      <c r="M367" t="str">
        <f t="shared" si="35"/>
        <v>CLEAN</v>
      </c>
      <c r="N367" t="str">
        <f t="shared" si="30"/>
        <v/>
      </c>
    </row>
    <row r="368" spans="1:14" x14ac:dyDescent="0.35">
      <c r="A368" t="s">
        <v>709</v>
      </c>
      <c r="B368" t="s">
        <v>45</v>
      </c>
      <c r="C368" t="s">
        <v>23</v>
      </c>
      <c r="D368">
        <v>1</v>
      </c>
      <c r="E368">
        <v>116831.51</v>
      </c>
      <c r="F368">
        <v>116831.51</v>
      </c>
      <c r="G368" s="1">
        <v>45562</v>
      </c>
      <c r="H368" t="s">
        <v>710</v>
      </c>
      <c r="I368" t="str">
        <f t="shared" si="31"/>
        <v>OK</v>
      </c>
      <c r="J368" t="str">
        <f t="shared" si="32"/>
        <v>OK</v>
      </c>
      <c r="K368" t="str">
        <f t="shared" si="33"/>
        <v>Unique</v>
      </c>
      <c r="L368" t="str">
        <f t="shared" si="34"/>
        <v>OK</v>
      </c>
      <c r="M368" t="str">
        <f t="shared" si="35"/>
        <v>CLEAN</v>
      </c>
      <c r="N368" t="str">
        <f t="shared" si="30"/>
        <v/>
      </c>
    </row>
    <row r="369" spans="1:14" x14ac:dyDescent="0.35">
      <c r="A369" t="s">
        <v>711</v>
      </c>
      <c r="B369" t="s">
        <v>11</v>
      </c>
      <c r="C369" t="s">
        <v>17</v>
      </c>
      <c r="D369">
        <v>1</v>
      </c>
      <c r="E369">
        <v>76871.199999999997</v>
      </c>
      <c r="F369">
        <v>76871.199999999997</v>
      </c>
      <c r="G369" s="1">
        <v>45662</v>
      </c>
      <c r="H369" t="s">
        <v>712</v>
      </c>
      <c r="I369" t="str">
        <f t="shared" si="31"/>
        <v>OK</v>
      </c>
      <c r="J369" t="str">
        <f t="shared" si="32"/>
        <v>OK</v>
      </c>
      <c r="K369" t="str">
        <f t="shared" si="33"/>
        <v>Unique</v>
      </c>
      <c r="L369" t="str">
        <f t="shared" si="34"/>
        <v>OK</v>
      </c>
      <c r="M369" t="str">
        <f t="shared" si="35"/>
        <v>CLEAN</v>
      </c>
      <c r="N369" t="str">
        <f t="shared" si="30"/>
        <v/>
      </c>
    </row>
    <row r="370" spans="1:14" x14ac:dyDescent="0.35">
      <c r="A370" t="s">
        <v>713</v>
      </c>
      <c r="B370" t="s">
        <v>89</v>
      </c>
      <c r="C370" t="s">
        <v>12</v>
      </c>
      <c r="D370">
        <v>44</v>
      </c>
      <c r="E370">
        <v>99413.77</v>
      </c>
      <c r="F370">
        <v>4374205.88</v>
      </c>
      <c r="G370" s="1">
        <v>45203</v>
      </c>
      <c r="H370" t="s">
        <v>714</v>
      </c>
      <c r="I370" t="str">
        <f t="shared" si="31"/>
        <v>OK</v>
      </c>
      <c r="J370" t="str">
        <f t="shared" si="32"/>
        <v>OK</v>
      </c>
      <c r="K370" t="str">
        <f t="shared" si="33"/>
        <v>Unique</v>
      </c>
      <c r="L370" t="str">
        <f t="shared" si="34"/>
        <v>OK</v>
      </c>
      <c r="M370" t="str">
        <f t="shared" si="35"/>
        <v>CLEAN</v>
      </c>
      <c r="N370" t="str">
        <f t="shared" si="30"/>
        <v/>
      </c>
    </row>
    <row r="371" spans="1:14" x14ac:dyDescent="0.35">
      <c r="A371" t="s">
        <v>715</v>
      </c>
      <c r="B371" t="s">
        <v>26</v>
      </c>
      <c r="C371" t="s">
        <v>17</v>
      </c>
      <c r="D371">
        <v>1</v>
      </c>
      <c r="E371">
        <v>24181.59</v>
      </c>
      <c r="F371">
        <v>24181.59</v>
      </c>
      <c r="G371" s="1">
        <v>45266</v>
      </c>
      <c r="H371" t="s">
        <v>716</v>
      </c>
      <c r="I371" t="str">
        <f t="shared" si="31"/>
        <v>OK</v>
      </c>
      <c r="J371" t="str">
        <f t="shared" si="32"/>
        <v>OK</v>
      </c>
      <c r="K371" t="str">
        <f t="shared" si="33"/>
        <v>Unique</v>
      </c>
      <c r="L371" t="str">
        <f t="shared" si="34"/>
        <v>OK</v>
      </c>
      <c r="M371" t="str">
        <f t="shared" si="35"/>
        <v>CLEAN</v>
      </c>
      <c r="N371" t="str">
        <f t="shared" si="30"/>
        <v/>
      </c>
    </row>
    <row r="372" spans="1:14" x14ac:dyDescent="0.35">
      <c r="A372" t="s">
        <v>717</v>
      </c>
      <c r="B372" t="s">
        <v>16</v>
      </c>
      <c r="C372" t="s">
        <v>17</v>
      </c>
      <c r="D372">
        <v>1</v>
      </c>
      <c r="E372">
        <v>0</v>
      </c>
      <c r="F372">
        <v>0</v>
      </c>
      <c r="G372" s="1">
        <v>45132</v>
      </c>
      <c r="H372" t="s">
        <v>718</v>
      </c>
      <c r="I372" t="str">
        <f t="shared" si="31"/>
        <v>Check Price</v>
      </c>
      <c r="J372" t="str">
        <f t="shared" si="32"/>
        <v>Zero Sale</v>
      </c>
      <c r="K372" t="str">
        <f t="shared" si="33"/>
        <v>Unique</v>
      </c>
      <c r="L372" t="str">
        <f t="shared" si="34"/>
        <v>OK</v>
      </c>
      <c r="M372" t="str">
        <f t="shared" si="35"/>
        <v>EXCEPTION</v>
      </c>
      <c r="N372" t="str">
        <f t="shared" si="30"/>
        <v>Price Issue, Zero Sale</v>
      </c>
    </row>
    <row r="373" spans="1:14" x14ac:dyDescent="0.35">
      <c r="A373" t="s">
        <v>719</v>
      </c>
      <c r="B373" t="s">
        <v>85</v>
      </c>
      <c r="C373" t="s">
        <v>55</v>
      </c>
      <c r="D373">
        <v>1</v>
      </c>
      <c r="E373">
        <v>135211.15</v>
      </c>
      <c r="F373">
        <v>135211.15</v>
      </c>
      <c r="G373" s="1">
        <v>45460</v>
      </c>
      <c r="H373" t="s">
        <v>720</v>
      </c>
      <c r="I373" t="str">
        <f t="shared" si="31"/>
        <v>OK</v>
      </c>
      <c r="J373" t="str">
        <f t="shared" si="32"/>
        <v>OK</v>
      </c>
      <c r="K373" t="str">
        <f t="shared" si="33"/>
        <v>Unique</v>
      </c>
      <c r="L373" t="str">
        <f t="shared" si="34"/>
        <v>OK</v>
      </c>
      <c r="M373" t="str">
        <f t="shared" si="35"/>
        <v>CLEAN</v>
      </c>
      <c r="N373" t="str">
        <f t="shared" si="30"/>
        <v/>
      </c>
    </row>
    <row r="374" spans="1:14" x14ac:dyDescent="0.35">
      <c r="A374" t="s">
        <v>721</v>
      </c>
      <c r="B374" t="s">
        <v>76</v>
      </c>
      <c r="C374" t="s">
        <v>55</v>
      </c>
      <c r="D374">
        <v>1</v>
      </c>
      <c r="E374">
        <v>111637.71</v>
      </c>
      <c r="F374">
        <v>111637.71</v>
      </c>
      <c r="G374" s="1">
        <v>45361</v>
      </c>
      <c r="H374" t="s">
        <v>722</v>
      </c>
      <c r="I374" t="str">
        <f t="shared" si="31"/>
        <v>OK</v>
      </c>
      <c r="J374" t="str">
        <f t="shared" si="32"/>
        <v>OK</v>
      </c>
      <c r="K374" t="str">
        <f t="shared" si="33"/>
        <v>Unique</v>
      </c>
      <c r="L374" t="str">
        <f t="shared" si="34"/>
        <v>OK</v>
      </c>
      <c r="M374" t="str">
        <f t="shared" si="35"/>
        <v>CLEAN</v>
      </c>
      <c r="N374" t="str">
        <f t="shared" si="30"/>
        <v/>
      </c>
    </row>
    <row r="375" spans="1:14" x14ac:dyDescent="0.35">
      <c r="A375" t="s">
        <v>723</v>
      </c>
      <c r="B375" t="s">
        <v>34</v>
      </c>
      <c r="C375" t="s">
        <v>70</v>
      </c>
      <c r="D375">
        <v>55</v>
      </c>
      <c r="E375">
        <v>160922.84</v>
      </c>
      <c r="F375">
        <v>8850756.1999999993</v>
      </c>
      <c r="G375" s="1">
        <v>45443</v>
      </c>
      <c r="H375" t="s">
        <v>724</v>
      </c>
      <c r="I375" t="str">
        <f t="shared" si="31"/>
        <v>OK</v>
      </c>
      <c r="J375" t="str">
        <f t="shared" si="32"/>
        <v>OK</v>
      </c>
      <c r="K375" t="str">
        <f t="shared" si="33"/>
        <v>Unique</v>
      </c>
      <c r="L375" t="str">
        <f t="shared" si="34"/>
        <v>OK</v>
      </c>
      <c r="M375" t="str">
        <f t="shared" si="35"/>
        <v>CLEAN</v>
      </c>
      <c r="N375" t="str">
        <f t="shared" si="30"/>
        <v/>
      </c>
    </row>
    <row r="376" spans="1:14" x14ac:dyDescent="0.35">
      <c r="A376" t="s">
        <v>725</v>
      </c>
      <c r="B376" t="s">
        <v>42</v>
      </c>
      <c r="C376" t="s">
        <v>17</v>
      </c>
      <c r="D376">
        <v>1</v>
      </c>
      <c r="E376">
        <v>248907.18</v>
      </c>
      <c r="F376">
        <v>248907.18</v>
      </c>
      <c r="G376" s="1">
        <v>45235</v>
      </c>
      <c r="H376" t="s">
        <v>726</v>
      </c>
      <c r="I376" t="str">
        <f t="shared" si="31"/>
        <v>OK</v>
      </c>
      <c r="J376" t="str">
        <f t="shared" si="32"/>
        <v>OK</v>
      </c>
      <c r="K376" t="str">
        <f t="shared" si="33"/>
        <v>Unique</v>
      </c>
      <c r="L376" t="str">
        <f t="shared" si="34"/>
        <v>OK</v>
      </c>
      <c r="M376" t="str">
        <f t="shared" si="35"/>
        <v>CLEAN</v>
      </c>
      <c r="N376" t="str">
        <f t="shared" si="30"/>
        <v/>
      </c>
    </row>
    <row r="377" spans="1:14" x14ac:dyDescent="0.35">
      <c r="A377" t="s">
        <v>727</v>
      </c>
      <c r="B377" t="s">
        <v>34</v>
      </c>
      <c r="C377" t="s">
        <v>55</v>
      </c>
      <c r="D377">
        <v>1</v>
      </c>
      <c r="E377">
        <v>15935.22</v>
      </c>
      <c r="F377">
        <v>15935.22</v>
      </c>
      <c r="G377" s="1">
        <v>45438</v>
      </c>
      <c r="H377" t="s">
        <v>728</v>
      </c>
      <c r="I377" t="str">
        <f t="shared" si="31"/>
        <v>OK</v>
      </c>
      <c r="J377" t="str">
        <f t="shared" si="32"/>
        <v>OK</v>
      </c>
      <c r="K377" t="str">
        <f t="shared" si="33"/>
        <v>Unique</v>
      </c>
      <c r="L377" t="str">
        <f t="shared" si="34"/>
        <v>OK</v>
      </c>
      <c r="M377" t="str">
        <f t="shared" si="35"/>
        <v>CLEAN</v>
      </c>
      <c r="N377" t="str">
        <f t="shared" si="30"/>
        <v/>
      </c>
    </row>
    <row r="378" spans="1:14" x14ac:dyDescent="0.35">
      <c r="A378" t="s">
        <v>729</v>
      </c>
      <c r="B378" t="s">
        <v>11</v>
      </c>
      <c r="C378" t="s">
        <v>27</v>
      </c>
      <c r="D378">
        <v>1</v>
      </c>
      <c r="E378">
        <v>113461.81</v>
      </c>
      <c r="F378">
        <v>113461.81</v>
      </c>
      <c r="G378" s="1">
        <v>45654</v>
      </c>
      <c r="H378" t="s">
        <v>730</v>
      </c>
      <c r="I378" t="str">
        <f t="shared" si="31"/>
        <v>OK</v>
      </c>
      <c r="J378" t="str">
        <f t="shared" si="32"/>
        <v>OK</v>
      </c>
      <c r="K378" t="str">
        <f t="shared" si="33"/>
        <v>Unique</v>
      </c>
      <c r="L378" t="str">
        <f t="shared" si="34"/>
        <v>OK</v>
      </c>
      <c r="M378" t="str">
        <f t="shared" si="35"/>
        <v>CLEAN</v>
      </c>
      <c r="N378" t="str">
        <f t="shared" si="30"/>
        <v/>
      </c>
    </row>
    <row r="379" spans="1:14" x14ac:dyDescent="0.35">
      <c r="A379" t="s">
        <v>1047</v>
      </c>
      <c r="B379" t="s">
        <v>31</v>
      </c>
      <c r="C379" t="s">
        <v>27</v>
      </c>
      <c r="D379">
        <v>14</v>
      </c>
      <c r="E379">
        <v>181688.35</v>
      </c>
      <c r="F379">
        <v>2543636.9</v>
      </c>
      <c r="G379" s="1">
        <v>45276</v>
      </c>
      <c r="H379" t="s">
        <v>731</v>
      </c>
      <c r="I379" t="str">
        <f t="shared" si="31"/>
        <v>OK</v>
      </c>
      <c r="J379" t="str">
        <f t="shared" si="32"/>
        <v>OK</v>
      </c>
      <c r="K379" t="str">
        <f t="shared" si="33"/>
        <v>Unique</v>
      </c>
      <c r="L379" t="str">
        <f t="shared" si="34"/>
        <v>OK</v>
      </c>
      <c r="M379" t="str">
        <f t="shared" si="35"/>
        <v>CLEAN</v>
      </c>
      <c r="N379" t="str">
        <f t="shared" si="30"/>
        <v/>
      </c>
    </row>
    <row r="380" spans="1:14" x14ac:dyDescent="0.35">
      <c r="A380" t="s">
        <v>732</v>
      </c>
      <c r="B380" t="s">
        <v>37</v>
      </c>
      <c r="C380" t="s">
        <v>70</v>
      </c>
      <c r="D380">
        <v>1</v>
      </c>
      <c r="E380">
        <v>12344.49</v>
      </c>
      <c r="F380">
        <v>12344.49</v>
      </c>
      <c r="G380" s="1">
        <v>45436</v>
      </c>
      <c r="H380" t="s">
        <v>1126</v>
      </c>
      <c r="I380" t="str">
        <f t="shared" si="31"/>
        <v>OK</v>
      </c>
      <c r="J380" t="str">
        <f t="shared" si="32"/>
        <v>OK</v>
      </c>
      <c r="K380" t="str">
        <f t="shared" si="33"/>
        <v>Unique</v>
      </c>
      <c r="L380" t="str">
        <f t="shared" si="34"/>
        <v>OK</v>
      </c>
      <c r="M380" t="str">
        <f t="shared" si="35"/>
        <v>CLEAN</v>
      </c>
      <c r="N380" t="str">
        <f t="shared" si="30"/>
        <v/>
      </c>
    </row>
    <row r="381" spans="1:14" x14ac:dyDescent="0.35">
      <c r="A381" t="s">
        <v>733</v>
      </c>
      <c r="B381" t="s">
        <v>26</v>
      </c>
      <c r="C381" t="s">
        <v>27</v>
      </c>
      <c r="D381">
        <v>1</v>
      </c>
      <c r="E381">
        <v>22298.91</v>
      </c>
      <c r="F381">
        <v>22298.91</v>
      </c>
      <c r="G381" s="1">
        <v>45507</v>
      </c>
      <c r="H381" t="s">
        <v>734</v>
      </c>
      <c r="I381" t="str">
        <f t="shared" si="31"/>
        <v>OK</v>
      </c>
      <c r="J381" t="str">
        <f t="shared" si="32"/>
        <v>OK</v>
      </c>
      <c r="K381" t="str">
        <f t="shared" si="33"/>
        <v>Unique</v>
      </c>
      <c r="L381" t="str">
        <f t="shared" si="34"/>
        <v>OK</v>
      </c>
      <c r="M381" t="str">
        <f t="shared" si="35"/>
        <v>CLEAN</v>
      </c>
      <c r="N381" t="str">
        <f t="shared" si="30"/>
        <v/>
      </c>
    </row>
    <row r="382" spans="1:14" x14ac:dyDescent="0.35">
      <c r="A382" t="s">
        <v>735</v>
      </c>
      <c r="B382" t="s">
        <v>34</v>
      </c>
      <c r="C382" t="s">
        <v>70</v>
      </c>
      <c r="D382">
        <v>1</v>
      </c>
      <c r="E382">
        <v>0</v>
      </c>
      <c r="F382">
        <v>0</v>
      </c>
      <c r="G382" s="1">
        <v>45719</v>
      </c>
      <c r="H382" t="s">
        <v>736</v>
      </c>
      <c r="I382" t="str">
        <f t="shared" si="31"/>
        <v>Check Price</v>
      </c>
      <c r="J382" t="str">
        <f t="shared" si="32"/>
        <v>Zero Sale</v>
      </c>
      <c r="K382" t="str">
        <f t="shared" si="33"/>
        <v>Unique</v>
      </c>
      <c r="L382" t="str">
        <f t="shared" si="34"/>
        <v>OK</v>
      </c>
      <c r="M382" t="str">
        <f t="shared" si="35"/>
        <v>EXCEPTION</v>
      </c>
      <c r="N382" t="str">
        <f t="shared" si="30"/>
        <v>Price Issue, Zero Sale</v>
      </c>
    </row>
    <row r="383" spans="1:14" x14ac:dyDescent="0.35">
      <c r="A383" t="s">
        <v>737</v>
      </c>
      <c r="B383" t="s">
        <v>45</v>
      </c>
      <c r="C383" t="s">
        <v>90</v>
      </c>
      <c r="D383">
        <v>1</v>
      </c>
      <c r="E383">
        <v>241492.86</v>
      </c>
      <c r="F383">
        <v>241492.86</v>
      </c>
      <c r="G383" s="1">
        <v>45592</v>
      </c>
      <c r="H383" t="s">
        <v>738</v>
      </c>
      <c r="I383" t="str">
        <f t="shared" si="31"/>
        <v>OK</v>
      </c>
      <c r="J383" t="str">
        <f t="shared" si="32"/>
        <v>OK</v>
      </c>
      <c r="K383" t="str">
        <f t="shared" si="33"/>
        <v>Unique</v>
      </c>
      <c r="L383" t="str">
        <f t="shared" si="34"/>
        <v>OK</v>
      </c>
      <c r="M383" t="str">
        <f t="shared" si="35"/>
        <v>CLEAN</v>
      </c>
      <c r="N383" t="str">
        <f t="shared" si="30"/>
        <v/>
      </c>
    </row>
    <row r="384" spans="1:14" x14ac:dyDescent="0.35">
      <c r="A384" t="s">
        <v>1055</v>
      </c>
      <c r="B384" t="s">
        <v>109</v>
      </c>
      <c r="C384" t="s">
        <v>55</v>
      </c>
      <c r="D384">
        <v>1</v>
      </c>
      <c r="E384">
        <v>176481.31</v>
      </c>
      <c r="F384">
        <v>176481.31</v>
      </c>
      <c r="G384" s="1">
        <v>45832</v>
      </c>
      <c r="H384" t="s">
        <v>739</v>
      </c>
      <c r="I384" t="str">
        <f t="shared" si="31"/>
        <v>OK</v>
      </c>
      <c r="J384" t="str">
        <f t="shared" si="32"/>
        <v>OK</v>
      </c>
      <c r="K384" t="str">
        <f t="shared" si="33"/>
        <v>Unique</v>
      </c>
      <c r="L384" t="str">
        <f t="shared" si="34"/>
        <v>OK</v>
      </c>
      <c r="M384" t="str">
        <f t="shared" si="35"/>
        <v>CLEAN</v>
      </c>
      <c r="N384" t="str">
        <f t="shared" si="30"/>
        <v/>
      </c>
    </row>
    <row r="385" spans="1:14" x14ac:dyDescent="0.35">
      <c r="A385" t="s">
        <v>740</v>
      </c>
      <c r="B385" t="s">
        <v>79</v>
      </c>
      <c r="C385" t="s">
        <v>17</v>
      </c>
      <c r="D385">
        <v>1</v>
      </c>
      <c r="E385">
        <v>201599.43</v>
      </c>
      <c r="F385">
        <v>201599.43</v>
      </c>
      <c r="G385" s="1">
        <v>45484</v>
      </c>
      <c r="H385" t="s">
        <v>741</v>
      </c>
      <c r="I385" t="str">
        <f t="shared" si="31"/>
        <v>OK</v>
      </c>
      <c r="J385" t="str">
        <f t="shared" si="32"/>
        <v>OK</v>
      </c>
      <c r="K385" t="str">
        <f t="shared" si="33"/>
        <v>Unique</v>
      </c>
      <c r="L385" t="str">
        <f t="shared" si="34"/>
        <v>OK</v>
      </c>
      <c r="M385" t="str">
        <f t="shared" si="35"/>
        <v>CLEAN</v>
      </c>
      <c r="N385" t="str">
        <f t="shared" si="30"/>
        <v/>
      </c>
    </row>
    <row r="386" spans="1:14" x14ac:dyDescent="0.35">
      <c r="A386" t="s">
        <v>742</v>
      </c>
      <c r="B386" t="s">
        <v>34</v>
      </c>
      <c r="C386" t="s">
        <v>70</v>
      </c>
      <c r="D386">
        <v>58</v>
      </c>
      <c r="E386">
        <v>65496.45</v>
      </c>
      <c r="F386">
        <v>3798794.0999999996</v>
      </c>
      <c r="G386" s="1">
        <v>45795</v>
      </c>
      <c r="H386" t="s">
        <v>743</v>
      </c>
      <c r="I386" t="str">
        <f t="shared" si="31"/>
        <v>OK</v>
      </c>
      <c r="J386" t="str">
        <f t="shared" si="32"/>
        <v>OK</v>
      </c>
      <c r="K386" t="str">
        <f t="shared" si="33"/>
        <v>Unique</v>
      </c>
      <c r="L386" t="str">
        <f t="shared" si="34"/>
        <v>OK</v>
      </c>
      <c r="M386" t="str">
        <f t="shared" si="35"/>
        <v>CLEAN</v>
      </c>
      <c r="N386" t="str">
        <f t="shared" ref="N386:N449" si="36">_xlfn.TEXTJOIN(", ",TRUE,
IF(I386&lt;&gt;"OK","Price Issue",""),
IF(J386&lt;&gt;"OK","Zero Sale",""),
IF(K386&lt;&gt;"Unique","Duplicate Order",""),
IF(L386&lt;&gt;"OK","Missing Date","")
)</f>
        <v/>
      </c>
    </row>
    <row r="387" spans="1:14" x14ac:dyDescent="0.35">
      <c r="A387" t="s">
        <v>744</v>
      </c>
      <c r="B387" t="s">
        <v>26</v>
      </c>
      <c r="C387" t="s">
        <v>70</v>
      </c>
      <c r="D387">
        <v>1</v>
      </c>
      <c r="E387">
        <v>63062.28</v>
      </c>
      <c r="F387">
        <v>63062.28</v>
      </c>
      <c r="G387" s="1">
        <v>45776</v>
      </c>
      <c r="H387" t="s">
        <v>745</v>
      </c>
      <c r="I387" t="str">
        <f t="shared" ref="I387:I450" si="37">IF(E387=0,"Check Price","OK")</f>
        <v>OK</v>
      </c>
      <c r="J387" t="str">
        <f t="shared" ref="J387:J450" si="38">IF(F387=0,"Zero Sale","OK")</f>
        <v>OK</v>
      </c>
      <c r="K387" t="str">
        <f t="shared" ref="K387:K450" si="39">IF(COUNTIF($H:$H,H387)&gt;1,"Duplicate","Unique")</f>
        <v>Unique</v>
      </c>
      <c r="L387" t="str">
        <f t="shared" ref="L387:L450" si="40">IF(G387="","Missing Date","OK")</f>
        <v>OK</v>
      </c>
      <c r="M387" t="str">
        <f t="shared" ref="M387:M450" si="41">IF(COUNTIF(I387:J387,"&lt;&gt;OK")&gt;0,"EXCEPTION","CLEAN")</f>
        <v>CLEAN</v>
      </c>
      <c r="N387" t="str">
        <f t="shared" si="36"/>
        <v/>
      </c>
    </row>
    <row r="388" spans="1:14" x14ac:dyDescent="0.35">
      <c r="A388" t="s">
        <v>746</v>
      </c>
      <c r="B388" t="s">
        <v>42</v>
      </c>
      <c r="C388" t="s">
        <v>12</v>
      </c>
      <c r="D388">
        <v>1</v>
      </c>
      <c r="E388">
        <v>272156.33</v>
      </c>
      <c r="F388">
        <v>272156.33</v>
      </c>
      <c r="G388" s="1">
        <v>45689</v>
      </c>
      <c r="H388" t="s">
        <v>747</v>
      </c>
      <c r="I388" t="str">
        <f t="shared" si="37"/>
        <v>OK</v>
      </c>
      <c r="J388" t="str">
        <f t="shared" si="38"/>
        <v>OK</v>
      </c>
      <c r="K388" t="str">
        <f t="shared" si="39"/>
        <v>Unique</v>
      </c>
      <c r="L388" t="str">
        <f t="shared" si="40"/>
        <v>OK</v>
      </c>
      <c r="M388" t="str">
        <f t="shared" si="41"/>
        <v>CLEAN</v>
      </c>
      <c r="N388" t="str">
        <f t="shared" si="36"/>
        <v/>
      </c>
    </row>
    <row r="389" spans="1:14" x14ac:dyDescent="0.35">
      <c r="A389" t="s">
        <v>748</v>
      </c>
      <c r="B389" t="s">
        <v>26</v>
      </c>
      <c r="C389" t="s">
        <v>17</v>
      </c>
      <c r="D389">
        <v>1</v>
      </c>
      <c r="E389">
        <v>91304.81</v>
      </c>
      <c r="F389">
        <v>91304.81</v>
      </c>
      <c r="G389" s="1">
        <v>45682</v>
      </c>
      <c r="H389" t="s">
        <v>749</v>
      </c>
      <c r="I389" t="str">
        <f t="shared" si="37"/>
        <v>OK</v>
      </c>
      <c r="J389" t="str">
        <f t="shared" si="38"/>
        <v>OK</v>
      </c>
      <c r="K389" t="str">
        <f t="shared" si="39"/>
        <v>Unique</v>
      </c>
      <c r="L389" t="str">
        <f t="shared" si="40"/>
        <v>OK</v>
      </c>
      <c r="M389" t="str">
        <f t="shared" si="41"/>
        <v>CLEAN</v>
      </c>
      <c r="N389" t="str">
        <f t="shared" si="36"/>
        <v/>
      </c>
    </row>
    <row r="390" spans="1:14" x14ac:dyDescent="0.35">
      <c r="A390" t="s">
        <v>750</v>
      </c>
      <c r="B390" t="s">
        <v>45</v>
      </c>
      <c r="C390" t="s">
        <v>90</v>
      </c>
      <c r="D390">
        <v>8</v>
      </c>
      <c r="E390">
        <v>272743.75</v>
      </c>
      <c r="F390">
        <v>2181950</v>
      </c>
      <c r="G390" s="1">
        <v>45166</v>
      </c>
      <c r="H390" t="s">
        <v>751</v>
      </c>
      <c r="I390" t="str">
        <f t="shared" si="37"/>
        <v>OK</v>
      </c>
      <c r="J390" t="str">
        <f t="shared" si="38"/>
        <v>OK</v>
      </c>
      <c r="K390" t="str">
        <f t="shared" si="39"/>
        <v>Unique</v>
      </c>
      <c r="L390" t="str">
        <f t="shared" si="40"/>
        <v>OK</v>
      </c>
      <c r="M390" t="str">
        <f t="shared" si="41"/>
        <v>CLEAN</v>
      </c>
      <c r="N390" t="str">
        <f t="shared" si="36"/>
        <v/>
      </c>
    </row>
    <row r="391" spans="1:14" x14ac:dyDescent="0.35">
      <c r="A391" t="s">
        <v>752</v>
      </c>
      <c r="B391" t="s">
        <v>131</v>
      </c>
      <c r="C391" t="s">
        <v>12</v>
      </c>
      <c r="D391">
        <v>1</v>
      </c>
      <c r="E391">
        <v>63936.43</v>
      </c>
      <c r="F391">
        <v>63936.43</v>
      </c>
      <c r="G391" s="1">
        <v>45666</v>
      </c>
      <c r="H391" t="s">
        <v>753</v>
      </c>
      <c r="I391" t="str">
        <f t="shared" si="37"/>
        <v>OK</v>
      </c>
      <c r="J391" t="str">
        <f t="shared" si="38"/>
        <v>OK</v>
      </c>
      <c r="K391" t="str">
        <f t="shared" si="39"/>
        <v>Unique</v>
      </c>
      <c r="L391" t="str">
        <f t="shared" si="40"/>
        <v>OK</v>
      </c>
      <c r="M391" t="str">
        <f t="shared" si="41"/>
        <v>CLEAN</v>
      </c>
      <c r="N391" t="str">
        <f t="shared" si="36"/>
        <v/>
      </c>
    </row>
    <row r="392" spans="1:14" x14ac:dyDescent="0.35">
      <c r="A392" t="s">
        <v>1047</v>
      </c>
      <c r="B392" t="s">
        <v>109</v>
      </c>
      <c r="C392" t="s">
        <v>55</v>
      </c>
      <c r="D392">
        <v>1</v>
      </c>
      <c r="E392">
        <v>0</v>
      </c>
      <c r="F392">
        <v>0</v>
      </c>
      <c r="G392" s="1">
        <v>45225</v>
      </c>
      <c r="H392" t="s">
        <v>754</v>
      </c>
      <c r="I392" t="str">
        <f t="shared" si="37"/>
        <v>Check Price</v>
      </c>
      <c r="J392" t="str">
        <f t="shared" si="38"/>
        <v>Zero Sale</v>
      </c>
      <c r="K392" t="str">
        <f t="shared" si="39"/>
        <v>Unique</v>
      </c>
      <c r="L392" t="str">
        <f t="shared" si="40"/>
        <v>OK</v>
      </c>
      <c r="M392" t="str">
        <f t="shared" si="41"/>
        <v>EXCEPTION</v>
      </c>
      <c r="N392" t="str">
        <f t="shared" si="36"/>
        <v>Price Issue, Zero Sale</v>
      </c>
    </row>
    <row r="393" spans="1:14" x14ac:dyDescent="0.35">
      <c r="A393" t="s">
        <v>755</v>
      </c>
      <c r="B393" t="s">
        <v>45</v>
      </c>
      <c r="C393" t="s">
        <v>46</v>
      </c>
      <c r="D393">
        <v>1</v>
      </c>
      <c r="E393">
        <v>57412.1</v>
      </c>
      <c r="F393">
        <v>57412.1</v>
      </c>
      <c r="G393" s="1">
        <v>45520</v>
      </c>
      <c r="H393" t="s">
        <v>756</v>
      </c>
      <c r="I393" t="str">
        <f t="shared" si="37"/>
        <v>OK</v>
      </c>
      <c r="J393" t="str">
        <f t="shared" si="38"/>
        <v>OK</v>
      </c>
      <c r="K393" t="str">
        <f t="shared" si="39"/>
        <v>Unique</v>
      </c>
      <c r="L393" t="str">
        <f t="shared" si="40"/>
        <v>OK</v>
      </c>
      <c r="M393" t="str">
        <f t="shared" si="41"/>
        <v>CLEAN</v>
      </c>
      <c r="N393" t="str">
        <f t="shared" si="36"/>
        <v/>
      </c>
    </row>
    <row r="394" spans="1:14" x14ac:dyDescent="0.35">
      <c r="A394" t="s">
        <v>757</v>
      </c>
      <c r="B394" t="s">
        <v>109</v>
      </c>
      <c r="C394" t="s">
        <v>17</v>
      </c>
      <c r="D394">
        <v>87</v>
      </c>
      <c r="E394">
        <v>222571.82</v>
      </c>
      <c r="F394">
        <v>19363748.34</v>
      </c>
      <c r="G394" s="1">
        <v>45279</v>
      </c>
      <c r="H394" t="s">
        <v>1127</v>
      </c>
      <c r="I394" t="str">
        <f t="shared" si="37"/>
        <v>OK</v>
      </c>
      <c r="J394" t="str">
        <f t="shared" si="38"/>
        <v>OK</v>
      </c>
      <c r="K394" t="str">
        <f t="shared" si="39"/>
        <v>Unique</v>
      </c>
      <c r="L394" t="str">
        <f t="shared" si="40"/>
        <v>OK</v>
      </c>
      <c r="M394" t="str">
        <f t="shared" si="41"/>
        <v>CLEAN</v>
      </c>
      <c r="N394" t="str">
        <f t="shared" si="36"/>
        <v/>
      </c>
    </row>
    <row r="395" spans="1:14" x14ac:dyDescent="0.35">
      <c r="A395" t="s">
        <v>758</v>
      </c>
      <c r="B395" t="s">
        <v>53</v>
      </c>
      <c r="C395" t="s">
        <v>46</v>
      </c>
      <c r="D395">
        <v>4</v>
      </c>
      <c r="E395">
        <v>224190.33</v>
      </c>
      <c r="F395">
        <v>896761.32</v>
      </c>
      <c r="G395" s="1">
        <v>45553</v>
      </c>
      <c r="H395" t="s">
        <v>759</v>
      </c>
      <c r="I395" t="str">
        <f t="shared" si="37"/>
        <v>OK</v>
      </c>
      <c r="J395" t="str">
        <f t="shared" si="38"/>
        <v>OK</v>
      </c>
      <c r="K395" t="str">
        <f t="shared" si="39"/>
        <v>Unique</v>
      </c>
      <c r="L395" t="str">
        <f t="shared" si="40"/>
        <v>OK</v>
      </c>
      <c r="M395" t="str">
        <f t="shared" si="41"/>
        <v>CLEAN</v>
      </c>
      <c r="N395" t="str">
        <f t="shared" si="36"/>
        <v/>
      </c>
    </row>
    <row r="396" spans="1:14" x14ac:dyDescent="0.35">
      <c r="A396" t="s">
        <v>760</v>
      </c>
      <c r="B396" t="s">
        <v>20</v>
      </c>
      <c r="C396" t="s">
        <v>17</v>
      </c>
      <c r="D396">
        <v>1</v>
      </c>
      <c r="E396">
        <v>226422.06</v>
      </c>
      <c r="F396">
        <v>226422.06</v>
      </c>
      <c r="G396" s="1">
        <v>45370</v>
      </c>
      <c r="H396" t="s">
        <v>761</v>
      </c>
      <c r="I396" t="str">
        <f t="shared" si="37"/>
        <v>OK</v>
      </c>
      <c r="J396" t="str">
        <f t="shared" si="38"/>
        <v>OK</v>
      </c>
      <c r="K396" t="str">
        <f t="shared" si="39"/>
        <v>Unique</v>
      </c>
      <c r="L396" t="str">
        <f t="shared" si="40"/>
        <v>OK</v>
      </c>
      <c r="M396" t="str">
        <f t="shared" si="41"/>
        <v>CLEAN</v>
      </c>
      <c r="N396" t="str">
        <f t="shared" si="36"/>
        <v/>
      </c>
    </row>
    <row r="397" spans="1:14" x14ac:dyDescent="0.35">
      <c r="A397" t="s">
        <v>762</v>
      </c>
      <c r="B397" t="s">
        <v>31</v>
      </c>
      <c r="C397" t="s">
        <v>90</v>
      </c>
      <c r="D397">
        <v>57</v>
      </c>
      <c r="E397">
        <v>274375.17</v>
      </c>
      <c r="F397">
        <v>15639384.689999999</v>
      </c>
      <c r="G397" s="1">
        <v>45632</v>
      </c>
      <c r="H397" t="s">
        <v>763</v>
      </c>
      <c r="I397" t="str">
        <f t="shared" si="37"/>
        <v>OK</v>
      </c>
      <c r="J397" t="str">
        <f t="shared" si="38"/>
        <v>OK</v>
      </c>
      <c r="K397" t="str">
        <f t="shared" si="39"/>
        <v>Unique</v>
      </c>
      <c r="L397" t="str">
        <f t="shared" si="40"/>
        <v>OK</v>
      </c>
      <c r="M397" t="str">
        <f t="shared" si="41"/>
        <v>CLEAN</v>
      </c>
      <c r="N397" t="str">
        <f t="shared" si="36"/>
        <v/>
      </c>
    </row>
    <row r="398" spans="1:14" x14ac:dyDescent="0.35">
      <c r="A398" t="s">
        <v>764</v>
      </c>
      <c r="B398" t="s">
        <v>109</v>
      </c>
      <c r="C398" t="s">
        <v>12</v>
      </c>
      <c r="D398">
        <v>17</v>
      </c>
      <c r="E398">
        <v>208840.07</v>
      </c>
      <c r="F398">
        <v>3550281.19</v>
      </c>
      <c r="G398" s="1">
        <v>45489</v>
      </c>
      <c r="H398" t="s">
        <v>765</v>
      </c>
      <c r="I398" t="str">
        <f t="shared" si="37"/>
        <v>OK</v>
      </c>
      <c r="J398" t="str">
        <f t="shared" si="38"/>
        <v>OK</v>
      </c>
      <c r="K398" t="str">
        <f t="shared" si="39"/>
        <v>Unique</v>
      </c>
      <c r="L398" t="str">
        <f t="shared" si="40"/>
        <v>OK</v>
      </c>
      <c r="M398" t="str">
        <f t="shared" si="41"/>
        <v>CLEAN</v>
      </c>
      <c r="N398" t="str">
        <f t="shared" si="36"/>
        <v/>
      </c>
    </row>
    <row r="399" spans="1:14" x14ac:dyDescent="0.35">
      <c r="A399" t="s">
        <v>766</v>
      </c>
      <c r="B399" t="s">
        <v>34</v>
      </c>
      <c r="C399" t="s">
        <v>70</v>
      </c>
      <c r="D399">
        <v>1</v>
      </c>
      <c r="E399">
        <v>211278.69</v>
      </c>
      <c r="F399">
        <v>211278.69</v>
      </c>
      <c r="G399" s="1">
        <v>45526</v>
      </c>
      <c r="H399" t="s">
        <v>767</v>
      </c>
      <c r="I399" t="str">
        <f t="shared" si="37"/>
        <v>OK</v>
      </c>
      <c r="J399" t="str">
        <f t="shared" si="38"/>
        <v>OK</v>
      </c>
      <c r="K399" t="str">
        <f t="shared" si="39"/>
        <v>Unique</v>
      </c>
      <c r="L399" t="str">
        <f t="shared" si="40"/>
        <v>OK</v>
      </c>
      <c r="M399" t="str">
        <f t="shared" si="41"/>
        <v>CLEAN</v>
      </c>
      <c r="N399" t="str">
        <f t="shared" si="36"/>
        <v/>
      </c>
    </row>
    <row r="400" spans="1:14" x14ac:dyDescent="0.35">
      <c r="A400" t="s">
        <v>768</v>
      </c>
      <c r="B400" t="s">
        <v>42</v>
      </c>
      <c r="C400" t="s">
        <v>12</v>
      </c>
      <c r="D400">
        <v>1</v>
      </c>
      <c r="E400">
        <v>119291.3</v>
      </c>
      <c r="F400">
        <v>119291.3</v>
      </c>
      <c r="G400" s="1">
        <v>45410</v>
      </c>
      <c r="H400" t="s">
        <v>769</v>
      </c>
      <c r="I400" t="str">
        <f t="shared" si="37"/>
        <v>OK</v>
      </c>
      <c r="J400" t="str">
        <f t="shared" si="38"/>
        <v>OK</v>
      </c>
      <c r="K400" t="str">
        <f t="shared" si="39"/>
        <v>Unique</v>
      </c>
      <c r="L400" t="str">
        <f t="shared" si="40"/>
        <v>OK</v>
      </c>
      <c r="M400" t="str">
        <f t="shared" si="41"/>
        <v>CLEAN</v>
      </c>
      <c r="N400" t="str">
        <f t="shared" si="36"/>
        <v/>
      </c>
    </row>
    <row r="401" spans="1:14" x14ac:dyDescent="0.35">
      <c r="A401" t="s">
        <v>770</v>
      </c>
      <c r="B401" t="s">
        <v>61</v>
      </c>
      <c r="C401" t="s">
        <v>46</v>
      </c>
      <c r="D401">
        <v>1</v>
      </c>
      <c r="E401">
        <v>72179.62</v>
      </c>
      <c r="F401">
        <v>72179.62</v>
      </c>
      <c r="G401" s="1">
        <v>45361</v>
      </c>
      <c r="H401" t="s">
        <v>771</v>
      </c>
      <c r="I401" t="str">
        <f t="shared" si="37"/>
        <v>OK</v>
      </c>
      <c r="J401" t="str">
        <f t="shared" si="38"/>
        <v>OK</v>
      </c>
      <c r="K401" t="str">
        <f t="shared" si="39"/>
        <v>Unique</v>
      </c>
      <c r="L401" t="str">
        <f t="shared" si="40"/>
        <v>OK</v>
      </c>
      <c r="M401" t="str">
        <f t="shared" si="41"/>
        <v>CLEAN</v>
      </c>
      <c r="N401" t="str">
        <f t="shared" si="36"/>
        <v/>
      </c>
    </row>
    <row r="402" spans="1:14" x14ac:dyDescent="0.35">
      <c r="A402" t="s">
        <v>772</v>
      </c>
      <c r="B402" t="s">
        <v>26</v>
      </c>
      <c r="C402" t="s">
        <v>17</v>
      </c>
      <c r="D402">
        <v>1</v>
      </c>
      <c r="E402">
        <v>0</v>
      </c>
      <c r="F402">
        <v>0</v>
      </c>
      <c r="G402" s="1">
        <v>45252</v>
      </c>
      <c r="H402" s="2" t="s">
        <v>773</v>
      </c>
      <c r="I402" t="str">
        <f t="shared" si="37"/>
        <v>Check Price</v>
      </c>
      <c r="J402" t="str">
        <f t="shared" si="38"/>
        <v>Zero Sale</v>
      </c>
      <c r="K402" t="str">
        <f t="shared" si="39"/>
        <v>Unique</v>
      </c>
      <c r="L402" t="str">
        <f t="shared" si="40"/>
        <v>OK</v>
      </c>
      <c r="M402" t="str">
        <f t="shared" si="41"/>
        <v>EXCEPTION</v>
      </c>
      <c r="N402" t="str">
        <f t="shared" si="36"/>
        <v>Price Issue, Zero Sale</v>
      </c>
    </row>
    <row r="403" spans="1:14" x14ac:dyDescent="0.35">
      <c r="A403" t="s">
        <v>774</v>
      </c>
      <c r="B403" t="s">
        <v>20</v>
      </c>
      <c r="C403" t="s">
        <v>23</v>
      </c>
      <c r="D403">
        <v>1</v>
      </c>
      <c r="E403">
        <v>96823.7</v>
      </c>
      <c r="F403">
        <v>96823.7</v>
      </c>
      <c r="G403" s="1">
        <v>45475</v>
      </c>
      <c r="H403" t="s">
        <v>775</v>
      </c>
      <c r="I403" t="str">
        <f t="shared" si="37"/>
        <v>OK</v>
      </c>
      <c r="J403" t="str">
        <f t="shared" si="38"/>
        <v>OK</v>
      </c>
      <c r="K403" t="str">
        <f t="shared" si="39"/>
        <v>Unique</v>
      </c>
      <c r="L403" t="str">
        <f t="shared" si="40"/>
        <v>OK</v>
      </c>
      <c r="M403" t="str">
        <f t="shared" si="41"/>
        <v>CLEAN</v>
      </c>
      <c r="N403" t="str">
        <f t="shared" si="36"/>
        <v/>
      </c>
    </row>
    <row r="404" spans="1:14" x14ac:dyDescent="0.35">
      <c r="A404" t="s">
        <v>776</v>
      </c>
      <c r="B404" t="s">
        <v>85</v>
      </c>
      <c r="C404" t="s">
        <v>55</v>
      </c>
      <c r="D404">
        <v>1</v>
      </c>
      <c r="E404">
        <v>85276.23</v>
      </c>
      <c r="F404">
        <v>85276.23</v>
      </c>
      <c r="G404" s="1">
        <v>45826</v>
      </c>
      <c r="H404" t="s">
        <v>777</v>
      </c>
      <c r="I404" t="str">
        <f t="shared" si="37"/>
        <v>OK</v>
      </c>
      <c r="J404" t="str">
        <f t="shared" si="38"/>
        <v>OK</v>
      </c>
      <c r="K404" t="str">
        <f t="shared" si="39"/>
        <v>Unique</v>
      </c>
      <c r="L404" t="str">
        <f t="shared" si="40"/>
        <v>OK</v>
      </c>
      <c r="M404" t="str">
        <f t="shared" si="41"/>
        <v>CLEAN</v>
      </c>
      <c r="N404" t="str">
        <f t="shared" si="36"/>
        <v/>
      </c>
    </row>
    <row r="405" spans="1:14" x14ac:dyDescent="0.35">
      <c r="A405" t="s">
        <v>1047</v>
      </c>
      <c r="B405" t="s">
        <v>85</v>
      </c>
      <c r="C405" t="s">
        <v>70</v>
      </c>
      <c r="D405">
        <v>1</v>
      </c>
      <c r="E405">
        <v>140142.01</v>
      </c>
      <c r="F405">
        <v>140142.01</v>
      </c>
      <c r="G405" s="1">
        <v>45532</v>
      </c>
      <c r="H405" t="s">
        <v>778</v>
      </c>
      <c r="I405" t="str">
        <f t="shared" si="37"/>
        <v>OK</v>
      </c>
      <c r="J405" t="str">
        <f t="shared" si="38"/>
        <v>OK</v>
      </c>
      <c r="K405" t="str">
        <f t="shared" si="39"/>
        <v>Unique</v>
      </c>
      <c r="L405" t="str">
        <f t="shared" si="40"/>
        <v>OK</v>
      </c>
      <c r="M405" t="str">
        <f t="shared" si="41"/>
        <v>CLEAN</v>
      </c>
      <c r="N405" t="str">
        <f t="shared" si="36"/>
        <v/>
      </c>
    </row>
    <row r="406" spans="1:14" x14ac:dyDescent="0.35">
      <c r="A406" t="s">
        <v>779</v>
      </c>
      <c r="B406" t="s">
        <v>42</v>
      </c>
      <c r="C406" t="s">
        <v>46</v>
      </c>
      <c r="D406">
        <v>98</v>
      </c>
      <c r="E406">
        <v>194792.04</v>
      </c>
      <c r="F406">
        <v>19089619.920000002</v>
      </c>
      <c r="G406" s="1">
        <v>45383</v>
      </c>
      <c r="H406" t="s">
        <v>780</v>
      </c>
      <c r="I406" t="str">
        <f t="shared" si="37"/>
        <v>OK</v>
      </c>
      <c r="J406" t="str">
        <f t="shared" si="38"/>
        <v>OK</v>
      </c>
      <c r="K406" t="str">
        <f t="shared" si="39"/>
        <v>Unique</v>
      </c>
      <c r="L406" t="str">
        <f t="shared" si="40"/>
        <v>OK</v>
      </c>
      <c r="M406" t="str">
        <f t="shared" si="41"/>
        <v>CLEAN</v>
      </c>
      <c r="N406" t="str">
        <f t="shared" si="36"/>
        <v/>
      </c>
    </row>
    <row r="407" spans="1:14" x14ac:dyDescent="0.35">
      <c r="A407" t="s">
        <v>781</v>
      </c>
      <c r="B407" t="s">
        <v>11</v>
      </c>
      <c r="C407" t="s">
        <v>55</v>
      </c>
      <c r="D407">
        <v>74</v>
      </c>
      <c r="E407">
        <v>92872.47</v>
      </c>
      <c r="F407">
        <v>6872562.7800000003</v>
      </c>
      <c r="G407" s="1">
        <v>45542</v>
      </c>
      <c r="H407" t="s">
        <v>782</v>
      </c>
      <c r="I407" t="str">
        <f t="shared" si="37"/>
        <v>OK</v>
      </c>
      <c r="J407" t="str">
        <f t="shared" si="38"/>
        <v>OK</v>
      </c>
      <c r="K407" t="str">
        <f t="shared" si="39"/>
        <v>Unique</v>
      </c>
      <c r="L407" t="str">
        <f t="shared" si="40"/>
        <v>OK</v>
      </c>
      <c r="M407" t="str">
        <f t="shared" si="41"/>
        <v>CLEAN</v>
      </c>
      <c r="N407" t="str">
        <f t="shared" si="36"/>
        <v/>
      </c>
    </row>
    <row r="408" spans="1:14" x14ac:dyDescent="0.35">
      <c r="A408" t="s">
        <v>783</v>
      </c>
      <c r="B408" t="s">
        <v>85</v>
      </c>
      <c r="C408" t="s">
        <v>70</v>
      </c>
      <c r="D408">
        <v>1</v>
      </c>
      <c r="E408">
        <v>108213.56</v>
      </c>
      <c r="F408">
        <v>108213.56</v>
      </c>
      <c r="G408" s="1">
        <v>45393</v>
      </c>
      <c r="H408" t="s">
        <v>1128</v>
      </c>
      <c r="I408" t="str">
        <f t="shared" si="37"/>
        <v>OK</v>
      </c>
      <c r="J408" t="str">
        <f t="shared" si="38"/>
        <v>OK</v>
      </c>
      <c r="K408" t="str">
        <f t="shared" si="39"/>
        <v>Unique</v>
      </c>
      <c r="L408" t="str">
        <f t="shared" si="40"/>
        <v>OK</v>
      </c>
      <c r="M408" t="str">
        <f t="shared" si="41"/>
        <v>CLEAN</v>
      </c>
      <c r="N408" t="str">
        <f t="shared" si="36"/>
        <v/>
      </c>
    </row>
    <row r="409" spans="1:14" x14ac:dyDescent="0.35">
      <c r="A409" t="s">
        <v>784</v>
      </c>
      <c r="B409" t="s">
        <v>89</v>
      </c>
      <c r="C409" t="s">
        <v>55</v>
      </c>
      <c r="D409">
        <v>1</v>
      </c>
      <c r="E409">
        <v>264902.18</v>
      </c>
      <c r="F409">
        <v>264902.18</v>
      </c>
      <c r="G409" s="1">
        <v>45642</v>
      </c>
      <c r="H409" t="s">
        <v>785</v>
      </c>
      <c r="I409" t="str">
        <f t="shared" si="37"/>
        <v>OK</v>
      </c>
      <c r="J409" t="str">
        <f t="shared" si="38"/>
        <v>OK</v>
      </c>
      <c r="K409" t="str">
        <f t="shared" si="39"/>
        <v>Unique</v>
      </c>
      <c r="L409" t="str">
        <f t="shared" si="40"/>
        <v>OK</v>
      </c>
      <c r="M409" t="str">
        <f t="shared" si="41"/>
        <v>CLEAN</v>
      </c>
      <c r="N409" t="str">
        <f t="shared" si="36"/>
        <v/>
      </c>
    </row>
    <row r="410" spans="1:14" x14ac:dyDescent="0.35">
      <c r="A410" t="s">
        <v>786</v>
      </c>
      <c r="B410" t="s">
        <v>42</v>
      </c>
      <c r="C410" t="s">
        <v>17</v>
      </c>
      <c r="D410">
        <v>1</v>
      </c>
      <c r="E410">
        <v>140068.22</v>
      </c>
      <c r="F410">
        <v>140068.22</v>
      </c>
      <c r="G410" s="1">
        <v>45717</v>
      </c>
      <c r="H410" t="s">
        <v>787</v>
      </c>
      <c r="I410" t="str">
        <f t="shared" si="37"/>
        <v>OK</v>
      </c>
      <c r="J410" t="str">
        <f t="shared" si="38"/>
        <v>OK</v>
      </c>
      <c r="K410" t="str">
        <f t="shared" si="39"/>
        <v>Unique</v>
      </c>
      <c r="L410" t="str">
        <f t="shared" si="40"/>
        <v>OK</v>
      </c>
      <c r="M410" t="str">
        <f t="shared" si="41"/>
        <v>CLEAN</v>
      </c>
      <c r="N410" t="str">
        <f t="shared" si="36"/>
        <v/>
      </c>
    </row>
    <row r="411" spans="1:14" x14ac:dyDescent="0.35">
      <c r="A411" t="s">
        <v>788</v>
      </c>
      <c r="B411" t="s">
        <v>20</v>
      </c>
      <c r="C411" t="s">
        <v>90</v>
      </c>
      <c r="D411">
        <v>32</v>
      </c>
      <c r="E411">
        <v>240943.58</v>
      </c>
      <c r="F411">
        <v>7710194.5599999996</v>
      </c>
      <c r="G411" s="1">
        <v>45791</v>
      </c>
      <c r="H411" t="s">
        <v>789</v>
      </c>
      <c r="I411" t="str">
        <f t="shared" si="37"/>
        <v>OK</v>
      </c>
      <c r="J411" t="str">
        <f t="shared" si="38"/>
        <v>OK</v>
      </c>
      <c r="K411" t="str">
        <f t="shared" si="39"/>
        <v>Unique</v>
      </c>
      <c r="L411" t="str">
        <f t="shared" si="40"/>
        <v>OK</v>
      </c>
      <c r="M411" t="str">
        <f t="shared" si="41"/>
        <v>CLEAN</v>
      </c>
      <c r="N411" t="str">
        <f t="shared" si="36"/>
        <v/>
      </c>
    </row>
    <row r="412" spans="1:14" x14ac:dyDescent="0.35">
      <c r="A412" t="s">
        <v>790</v>
      </c>
      <c r="B412" t="s">
        <v>16</v>
      </c>
      <c r="C412" t="s">
        <v>46</v>
      </c>
      <c r="D412">
        <v>1</v>
      </c>
      <c r="E412">
        <v>0</v>
      </c>
      <c r="F412">
        <v>0</v>
      </c>
      <c r="G412" s="1">
        <v>45677</v>
      </c>
      <c r="H412" t="s">
        <v>791</v>
      </c>
      <c r="I412" t="str">
        <f t="shared" si="37"/>
        <v>Check Price</v>
      </c>
      <c r="J412" t="str">
        <f t="shared" si="38"/>
        <v>Zero Sale</v>
      </c>
      <c r="K412" t="str">
        <f t="shared" si="39"/>
        <v>Unique</v>
      </c>
      <c r="L412" t="str">
        <f t="shared" si="40"/>
        <v>OK</v>
      </c>
      <c r="M412" t="str">
        <f t="shared" si="41"/>
        <v>EXCEPTION</v>
      </c>
      <c r="N412" t="str">
        <f t="shared" si="36"/>
        <v>Price Issue, Zero Sale</v>
      </c>
    </row>
    <row r="413" spans="1:14" x14ac:dyDescent="0.35">
      <c r="A413" t="s">
        <v>792</v>
      </c>
      <c r="B413" t="s">
        <v>85</v>
      </c>
      <c r="C413" t="s">
        <v>27</v>
      </c>
      <c r="D413">
        <v>1</v>
      </c>
      <c r="E413">
        <v>216862.87</v>
      </c>
      <c r="F413">
        <v>216862.87</v>
      </c>
      <c r="G413" s="1">
        <v>45646</v>
      </c>
      <c r="H413" t="s">
        <v>793</v>
      </c>
      <c r="I413" t="str">
        <f t="shared" si="37"/>
        <v>OK</v>
      </c>
      <c r="J413" t="str">
        <f t="shared" si="38"/>
        <v>OK</v>
      </c>
      <c r="K413" t="str">
        <f t="shared" si="39"/>
        <v>Unique</v>
      </c>
      <c r="L413" t="str">
        <f t="shared" si="40"/>
        <v>OK</v>
      </c>
      <c r="M413" t="str">
        <f t="shared" si="41"/>
        <v>CLEAN</v>
      </c>
      <c r="N413" t="str">
        <f t="shared" si="36"/>
        <v/>
      </c>
    </row>
    <row r="414" spans="1:14" x14ac:dyDescent="0.35">
      <c r="A414" t="s">
        <v>794</v>
      </c>
      <c r="B414" t="s">
        <v>31</v>
      </c>
      <c r="C414" t="s">
        <v>23</v>
      </c>
      <c r="D414">
        <v>1</v>
      </c>
      <c r="E414">
        <v>228607.88</v>
      </c>
      <c r="F414">
        <v>228607.88</v>
      </c>
      <c r="G414" s="1">
        <v>45617</v>
      </c>
      <c r="H414" t="s">
        <v>795</v>
      </c>
      <c r="I414" t="str">
        <f t="shared" si="37"/>
        <v>OK</v>
      </c>
      <c r="J414" t="str">
        <f t="shared" si="38"/>
        <v>OK</v>
      </c>
      <c r="K414" t="str">
        <f t="shared" si="39"/>
        <v>Unique</v>
      </c>
      <c r="L414" t="str">
        <f t="shared" si="40"/>
        <v>OK</v>
      </c>
      <c r="M414" t="str">
        <f t="shared" si="41"/>
        <v>CLEAN</v>
      </c>
      <c r="N414" t="str">
        <f t="shared" si="36"/>
        <v/>
      </c>
    </row>
    <row r="415" spans="1:14" x14ac:dyDescent="0.35">
      <c r="A415" t="s">
        <v>796</v>
      </c>
      <c r="B415" t="s">
        <v>105</v>
      </c>
      <c r="C415" t="s">
        <v>27</v>
      </c>
      <c r="D415">
        <v>72</v>
      </c>
      <c r="E415">
        <v>96409.87</v>
      </c>
      <c r="F415">
        <v>6941510.6399999997</v>
      </c>
      <c r="G415" s="1">
        <v>45742</v>
      </c>
      <c r="H415" t="s">
        <v>797</v>
      </c>
      <c r="I415" t="str">
        <f t="shared" si="37"/>
        <v>OK</v>
      </c>
      <c r="J415" t="str">
        <f t="shared" si="38"/>
        <v>OK</v>
      </c>
      <c r="K415" t="str">
        <f t="shared" si="39"/>
        <v>Unique</v>
      </c>
      <c r="L415" t="str">
        <f t="shared" si="40"/>
        <v>OK</v>
      </c>
      <c r="M415" t="str">
        <f t="shared" si="41"/>
        <v>CLEAN</v>
      </c>
      <c r="N415" t="str">
        <f t="shared" si="36"/>
        <v/>
      </c>
    </row>
    <row r="416" spans="1:14" x14ac:dyDescent="0.35">
      <c r="A416" t="s">
        <v>798</v>
      </c>
      <c r="B416" t="s">
        <v>45</v>
      </c>
      <c r="C416" t="s">
        <v>46</v>
      </c>
      <c r="D416">
        <v>1</v>
      </c>
      <c r="E416">
        <v>61336.68</v>
      </c>
      <c r="F416">
        <v>61336.68</v>
      </c>
      <c r="G416" s="1">
        <v>45656</v>
      </c>
      <c r="H416" t="s">
        <v>799</v>
      </c>
      <c r="I416" t="str">
        <f t="shared" si="37"/>
        <v>OK</v>
      </c>
      <c r="J416" t="str">
        <f t="shared" si="38"/>
        <v>OK</v>
      </c>
      <c r="K416" t="str">
        <f t="shared" si="39"/>
        <v>Unique</v>
      </c>
      <c r="L416" t="str">
        <f t="shared" si="40"/>
        <v>OK</v>
      </c>
      <c r="M416" t="str">
        <f t="shared" si="41"/>
        <v>CLEAN</v>
      </c>
      <c r="N416" t="str">
        <f t="shared" si="36"/>
        <v/>
      </c>
    </row>
    <row r="417" spans="1:14" x14ac:dyDescent="0.35">
      <c r="A417" t="s">
        <v>800</v>
      </c>
      <c r="B417" t="s">
        <v>213</v>
      </c>
      <c r="C417" t="s">
        <v>70</v>
      </c>
      <c r="D417">
        <v>1</v>
      </c>
      <c r="E417">
        <v>94220.14</v>
      </c>
      <c r="F417">
        <v>94220.14</v>
      </c>
      <c r="G417" s="1">
        <v>45323</v>
      </c>
      <c r="H417" t="s">
        <v>801</v>
      </c>
      <c r="I417" t="str">
        <f t="shared" si="37"/>
        <v>OK</v>
      </c>
      <c r="J417" t="str">
        <f t="shared" si="38"/>
        <v>OK</v>
      </c>
      <c r="K417" t="str">
        <f t="shared" si="39"/>
        <v>Unique</v>
      </c>
      <c r="L417" t="str">
        <f t="shared" si="40"/>
        <v>OK</v>
      </c>
      <c r="M417" t="str">
        <f t="shared" si="41"/>
        <v>CLEAN</v>
      </c>
      <c r="N417" t="str">
        <f t="shared" si="36"/>
        <v/>
      </c>
    </row>
    <row r="418" spans="1:14" x14ac:dyDescent="0.35">
      <c r="A418" t="s">
        <v>1047</v>
      </c>
      <c r="B418" t="s">
        <v>20</v>
      </c>
      <c r="C418" t="s">
        <v>46</v>
      </c>
      <c r="D418">
        <v>1</v>
      </c>
      <c r="E418">
        <v>14191.78</v>
      </c>
      <c r="F418">
        <v>14191.78</v>
      </c>
      <c r="G418" s="1">
        <v>45591</v>
      </c>
      <c r="H418" t="s">
        <v>802</v>
      </c>
      <c r="I418" t="str">
        <f t="shared" si="37"/>
        <v>OK</v>
      </c>
      <c r="J418" t="str">
        <f t="shared" si="38"/>
        <v>OK</v>
      </c>
      <c r="K418" t="str">
        <f t="shared" si="39"/>
        <v>Unique</v>
      </c>
      <c r="L418" t="str">
        <f t="shared" si="40"/>
        <v>OK</v>
      </c>
      <c r="M418" t="str">
        <f t="shared" si="41"/>
        <v>CLEAN</v>
      </c>
      <c r="N418" t="str">
        <f t="shared" si="36"/>
        <v/>
      </c>
    </row>
    <row r="419" spans="1:14" x14ac:dyDescent="0.35">
      <c r="A419" t="s">
        <v>803</v>
      </c>
      <c r="B419" t="s">
        <v>53</v>
      </c>
      <c r="C419" t="s">
        <v>46</v>
      </c>
      <c r="D419">
        <v>1</v>
      </c>
      <c r="E419">
        <v>259293.41</v>
      </c>
      <c r="F419">
        <v>259293.41</v>
      </c>
      <c r="G419" s="1">
        <v>45494</v>
      </c>
      <c r="H419" t="s">
        <v>804</v>
      </c>
      <c r="I419" t="str">
        <f t="shared" si="37"/>
        <v>OK</v>
      </c>
      <c r="J419" t="str">
        <f t="shared" si="38"/>
        <v>OK</v>
      </c>
      <c r="K419" t="str">
        <f t="shared" si="39"/>
        <v>Unique</v>
      </c>
      <c r="L419" t="str">
        <f t="shared" si="40"/>
        <v>OK</v>
      </c>
      <c r="M419" t="str">
        <f t="shared" si="41"/>
        <v>CLEAN</v>
      </c>
      <c r="N419" t="str">
        <f t="shared" si="36"/>
        <v/>
      </c>
    </row>
    <row r="420" spans="1:14" x14ac:dyDescent="0.35">
      <c r="A420" t="s">
        <v>805</v>
      </c>
      <c r="B420" t="s">
        <v>76</v>
      </c>
      <c r="C420" t="s">
        <v>17</v>
      </c>
      <c r="D420">
        <v>63</v>
      </c>
      <c r="E420">
        <v>222505.09</v>
      </c>
      <c r="F420">
        <v>14017820.67</v>
      </c>
      <c r="G420" s="1">
        <v>45267</v>
      </c>
      <c r="H420" t="s">
        <v>806</v>
      </c>
      <c r="I420" t="str">
        <f t="shared" si="37"/>
        <v>OK</v>
      </c>
      <c r="J420" t="str">
        <f t="shared" si="38"/>
        <v>OK</v>
      </c>
      <c r="K420" t="str">
        <f t="shared" si="39"/>
        <v>Unique</v>
      </c>
      <c r="L420" t="str">
        <f t="shared" si="40"/>
        <v>OK</v>
      </c>
      <c r="M420" t="str">
        <f t="shared" si="41"/>
        <v>CLEAN</v>
      </c>
      <c r="N420" t="str">
        <f t="shared" si="36"/>
        <v/>
      </c>
    </row>
    <row r="421" spans="1:14" x14ac:dyDescent="0.35">
      <c r="A421" t="s">
        <v>807</v>
      </c>
      <c r="B421" t="s">
        <v>109</v>
      </c>
      <c r="C421" t="s">
        <v>12</v>
      </c>
      <c r="D421">
        <v>16</v>
      </c>
      <c r="E421">
        <v>5357.86</v>
      </c>
      <c r="F421">
        <v>85725.759999999995</v>
      </c>
      <c r="G421" s="1">
        <v>45309</v>
      </c>
      <c r="H421" t="s">
        <v>808</v>
      </c>
      <c r="I421" t="str">
        <f t="shared" si="37"/>
        <v>OK</v>
      </c>
      <c r="J421" t="str">
        <f t="shared" si="38"/>
        <v>OK</v>
      </c>
      <c r="K421" t="str">
        <f t="shared" si="39"/>
        <v>Unique</v>
      </c>
      <c r="L421" t="str">
        <f t="shared" si="40"/>
        <v>OK</v>
      </c>
      <c r="M421" t="str">
        <f t="shared" si="41"/>
        <v>CLEAN</v>
      </c>
      <c r="N421" t="str">
        <f t="shared" si="36"/>
        <v/>
      </c>
    </row>
    <row r="422" spans="1:14" x14ac:dyDescent="0.35">
      <c r="A422" t="s">
        <v>809</v>
      </c>
      <c r="B422" t="s">
        <v>131</v>
      </c>
      <c r="C422" t="s">
        <v>23</v>
      </c>
      <c r="D422">
        <v>1</v>
      </c>
      <c r="E422">
        <v>0</v>
      </c>
      <c r="F422">
        <v>0</v>
      </c>
      <c r="G422" s="1">
        <v>45334</v>
      </c>
      <c r="H422" t="s">
        <v>1129</v>
      </c>
      <c r="I422" t="str">
        <f t="shared" si="37"/>
        <v>Check Price</v>
      </c>
      <c r="J422" t="str">
        <f t="shared" si="38"/>
        <v>Zero Sale</v>
      </c>
      <c r="K422" t="str">
        <f t="shared" si="39"/>
        <v>Unique</v>
      </c>
      <c r="L422" t="str">
        <f t="shared" si="40"/>
        <v>OK</v>
      </c>
      <c r="M422" t="str">
        <f t="shared" si="41"/>
        <v>EXCEPTION</v>
      </c>
      <c r="N422" t="str">
        <f t="shared" si="36"/>
        <v>Price Issue, Zero Sale</v>
      </c>
    </row>
    <row r="423" spans="1:14" x14ac:dyDescent="0.35">
      <c r="A423" t="s">
        <v>810</v>
      </c>
      <c r="B423" t="s">
        <v>20</v>
      </c>
      <c r="C423" t="s">
        <v>90</v>
      </c>
      <c r="D423">
        <v>1</v>
      </c>
      <c r="E423">
        <v>166216.81</v>
      </c>
      <c r="F423">
        <v>166216.81</v>
      </c>
      <c r="G423" s="1">
        <v>45551</v>
      </c>
      <c r="H423" t="s">
        <v>811</v>
      </c>
      <c r="I423" t="str">
        <f t="shared" si="37"/>
        <v>OK</v>
      </c>
      <c r="J423" t="str">
        <f t="shared" si="38"/>
        <v>OK</v>
      </c>
      <c r="K423" t="str">
        <f t="shared" si="39"/>
        <v>Unique</v>
      </c>
      <c r="L423" t="str">
        <f t="shared" si="40"/>
        <v>OK</v>
      </c>
      <c r="M423" t="str">
        <f t="shared" si="41"/>
        <v>CLEAN</v>
      </c>
      <c r="N423" t="str">
        <f t="shared" si="36"/>
        <v/>
      </c>
    </row>
    <row r="424" spans="1:14" x14ac:dyDescent="0.35">
      <c r="A424" t="s">
        <v>812</v>
      </c>
      <c r="B424" t="s">
        <v>20</v>
      </c>
      <c r="C424" t="s">
        <v>90</v>
      </c>
      <c r="D424">
        <v>57</v>
      </c>
      <c r="E424">
        <v>175417.55</v>
      </c>
      <c r="F424">
        <v>9998800.3499999996</v>
      </c>
      <c r="G424" s="1">
        <v>45349</v>
      </c>
      <c r="H424" t="s">
        <v>813</v>
      </c>
      <c r="I424" t="str">
        <f t="shared" si="37"/>
        <v>OK</v>
      </c>
      <c r="J424" t="str">
        <f t="shared" si="38"/>
        <v>OK</v>
      </c>
      <c r="K424" t="str">
        <f t="shared" si="39"/>
        <v>Unique</v>
      </c>
      <c r="L424" t="str">
        <f t="shared" si="40"/>
        <v>OK</v>
      </c>
      <c r="M424" t="str">
        <f t="shared" si="41"/>
        <v>CLEAN</v>
      </c>
      <c r="N424" t="str">
        <f t="shared" si="36"/>
        <v/>
      </c>
    </row>
    <row r="425" spans="1:14" x14ac:dyDescent="0.35">
      <c r="A425" t="s">
        <v>814</v>
      </c>
      <c r="B425" t="s">
        <v>11</v>
      </c>
      <c r="C425" t="s">
        <v>55</v>
      </c>
      <c r="D425">
        <v>1</v>
      </c>
      <c r="E425">
        <v>216143.58</v>
      </c>
      <c r="F425">
        <v>216143.58</v>
      </c>
      <c r="G425" s="1">
        <v>45292</v>
      </c>
      <c r="H425" t="s">
        <v>815</v>
      </c>
      <c r="I425" t="str">
        <f t="shared" si="37"/>
        <v>OK</v>
      </c>
      <c r="J425" t="str">
        <f t="shared" si="38"/>
        <v>OK</v>
      </c>
      <c r="K425" t="str">
        <f t="shared" si="39"/>
        <v>Unique</v>
      </c>
      <c r="L425" t="str">
        <f t="shared" si="40"/>
        <v>OK</v>
      </c>
      <c r="M425" t="str">
        <f t="shared" si="41"/>
        <v>CLEAN</v>
      </c>
      <c r="N425" t="str">
        <f t="shared" si="36"/>
        <v/>
      </c>
    </row>
    <row r="426" spans="1:14" x14ac:dyDescent="0.35">
      <c r="A426" t="s">
        <v>816</v>
      </c>
      <c r="B426" t="s">
        <v>53</v>
      </c>
      <c r="C426" t="s">
        <v>90</v>
      </c>
      <c r="D426">
        <v>1</v>
      </c>
      <c r="E426">
        <v>88910.09</v>
      </c>
      <c r="F426">
        <v>88910.09</v>
      </c>
      <c r="G426" s="1">
        <v>45349</v>
      </c>
      <c r="H426" t="s">
        <v>817</v>
      </c>
      <c r="I426" t="str">
        <f t="shared" si="37"/>
        <v>OK</v>
      </c>
      <c r="J426" t="str">
        <f t="shared" si="38"/>
        <v>OK</v>
      </c>
      <c r="K426" t="str">
        <f t="shared" si="39"/>
        <v>Unique</v>
      </c>
      <c r="L426" t="str">
        <f t="shared" si="40"/>
        <v>OK</v>
      </c>
      <c r="M426" t="str">
        <f t="shared" si="41"/>
        <v>CLEAN</v>
      </c>
      <c r="N426" t="str">
        <f t="shared" si="36"/>
        <v/>
      </c>
    </row>
    <row r="427" spans="1:14" x14ac:dyDescent="0.35">
      <c r="A427" t="s">
        <v>818</v>
      </c>
      <c r="B427" t="s">
        <v>105</v>
      </c>
      <c r="C427" t="s">
        <v>23</v>
      </c>
      <c r="D427">
        <v>91</v>
      </c>
      <c r="E427">
        <v>59259.44</v>
      </c>
      <c r="F427">
        <v>5392609.04</v>
      </c>
      <c r="G427" s="1">
        <v>45716</v>
      </c>
      <c r="H427" t="s">
        <v>819</v>
      </c>
      <c r="I427" t="str">
        <f t="shared" si="37"/>
        <v>OK</v>
      </c>
      <c r="J427" t="str">
        <f t="shared" si="38"/>
        <v>OK</v>
      </c>
      <c r="K427" t="str">
        <f t="shared" si="39"/>
        <v>Unique</v>
      </c>
      <c r="L427" t="str">
        <f t="shared" si="40"/>
        <v>OK</v>
      </c>
      <c r="M427" t="str">
        <f t="shared" si="41"/>
        <v>CLEAN</v>
      </c>
      <c r="N427" t="str">
        <f t="shared" si="36"/>
        <v/>
      </c>
    </row>
    <row r="428" spans="1:14" x14ac:dyDescent="0.35">
      <c r="A428" t="s">
        <v>820</v>
      </c>
      <c r="B428" t="s">
        <v>89</v>
      </c>
      <c r="C428" t="s">
        <v>55</v>
      </c>
      <c r="D428">
        <v>1</v>
      </c>
      <c r="E428">
        <v>69390.58</v>
      </c>
      <c r="F428">
        <v>69390.58</v>
      </c>
      <c r="G428" s="1">
        <v>45342</v>
      </c>
      <c r="H428" t="s">
        <v>821</v>
      </c>
      <c r="I428" t="str">
        <f t="shared" si="37"/>
        <v>OK</v>
      </c>
      <c r="J428" t="str">
        <f t="shared" si="38"/>
        <v>OK</v>
      </c>
      <c r="K428" t="str">
        <f t="shared" si="39"/>
        <v>Unique</v>
      </c>
      <c r="L428" t="str">
        <f t="shared" si="40"/>
        <v>OK</v>
      </c>
      <c r="M428" t="str">
        <f t="shared" si="41"/>
        <v>CLEAN</v>
      </c>
      <c r="N428" t="str">
        <f t="shared" si="36"/>
        <v/>
      </c>
    </row>
    <row r="429" spans="1:14" x14ac:dyDescent="0.35">
      <c r="A429" t="s">
        <v>822</v>
      </c>
      <c r="B429" t="s">
        <v>16</v>
      </c>
      <c r="C429" t="s">
        <v>55</v>
      </c>
      <c r="D429">
        <v>1</v>
      </c>
      <c r="E429">
        <v>171151.96</v>
      </c>
      <c r="F429">
        <v>171151.96</v>
      </c>
      <c r="G429" s="1">
        <v>45665</v>
      </c>
      <c r="H429" t="s">
        <v>823</v>
      </c>
      <c r="I429" t="str">
        <f t="shared" si="37"/>
        <v>OK</v>
      </c>
      <c r="J429" t="str">
        <f t="shared" si="38"/>
        <v>OK</v>
      </c>
      <c r="K429" t="str">
        <f t="shared" si="39"/>
        <v>Unique</v>
      </c>
      <c r="L429" t="str">
        <f t="shared" si="40"/>
        <v>OK</v>
      </c>
      <c r="M429" t="str">
        <f t="shared" si="41"/>
        <v>CLEAN</v>
      </c>
      <c r="N429" t="str">
        <f t="shared" si="36"/>
        <v/>
      </c>
    </row>
    <row r="430" spans="1:14" x14ac:dyDescent="0.35">
      <c r="A430" t="s">
        <v>824</v>
      </c>
      <c r="B430" t="s">
        <v>37</v>
      </c>
      <c r="C430" t="s">
        <v>70</v>
      </c>
      <c r="D430">
        <v>1</v>
      </c>
      <c r="E430">
        <v>74096.14</v>
      </c>
      <c r="F430">
        <v>74096.14</v>
      </c>
      <c r="G430" s="1">
        <v>45278</v>
      </c>
      <c r="H430" t="s">
        <v>825</v>
      </c>
      <c r="I430" t="str">
        <f t="shared" si="37"/>
        <v>OK</v>
      </c>
      <c r="J430" t="str">
        <f t="shared" si="38"/>
        <v>OK</v>
      </c>
      <c r="K430" t="str">
        <f t="shared" si="39"/>
        <v>Unique</v>
      </c>
      <c r="L430" t="str">
        <f t="shared" si="40"/>
        <v>OK</v>
      </c>
      <c r="M430" t="str">
        <f t="shared" si="41"/>
        <v>CLEAN</v>
      </c>
      <c r="N430" t="str">
        <f t="shared" si="36"/>
        <v/>
      </c>
    </row>
    <row r="431" spans="1:14" x14ac:dyDescent="0.35">
      <c r="A431" t="s">
        <v>1047</v>
      </c>
      <c r="B431" t="s">
        <v>16</v>
      </c>
      <c r="C431" t="s">
        <v>12</v>
      </c>
      <c r="D431">
        <v>1</v>
      </c>
      <c r="E431">
        <v>165417.44</v>
      </c>
      <c r="F431">
        <v>165417.44</v>
      </c>
      <c r="G431" s="1">
        <v>45654</v>
      </c>
      <c r="H431" t="s">
        <v>826</v>
      </c>
      <c r="I431" t="str">
        <f t="shared" si="37"/>
        <v>OK</v>
      </c>
      <c r="J431" t="str">
        <f t="shared" si="38"/>
        <v>OK</v>
      </c>
      <c r="K431" t="str">
        <f t="shared" si="39"/>
        <v>Unique</v>
      </c>
      <c r="L431" t="str">
        <f t="shared" si="40"/>
        <v>OK</v>
      </c>
      <c r="M431" t="str">
        <f t="shared" si="41"/>
        <v>CLEAN</v>
      </c>
      <c r="N431" t="str">
        <f t="shared" si="36"/>
        <v/>
      </c>
    </row>
    <row r="432" spans="1:14" x14ac:dyDescent="0.35">
      <c r="A432" t="s">
        <v>827</v>
      </c>
      <c r="B432" t="s">
        <v>109</v>
      </c>
      <c r="C432" t="s">
        <v>27</v>
      </c>
      <c r="D432">
        <v>82</v>
      </c>
      <c r="E432">
        <v>0</v>
      </c>
      <c r="F432">
        <v>0</v>
      </c>
      <c r="G432" s="1">
        <v>45665</v>
      </c>
      <c r="H432" t="s">
        <v>828</v>
      </c>
      <c r="I432" t="str">
        <f t="shared" si="37"/>
        <v>Check Price</v>
      </c>
      <c r="J432" t="str">
        <f t="shared" si="38"/>
        <v>Zero Sale</v>
      </c>
      <c r="K432" t="str">
        <f t="shared" si="39"/>
        <v>Unique</v>
      </c>
      <c r="L432" t="str">
        <f t="shared" si="40"/>
        <v>OK</v>
      </c>
      <c r="M432" t="str">
        <f t="shared" si="41"/>
        <v>EXCEPTION</v>
      </c>
      <c r="N432" t="str">
        <f t="shared" si="36"/>
        <v>Price Issue, Zero Sale</v>
      </c>
    </row>
    <row r="433" spans="1:14" x14ac:dyDescent="0.35">
      <c r="A433" t="s">
        <v>829</v>
      </c>
      <c r="B433" t="s">
        <v>58</v>
      </c>
      <c r="C433" t="s">
        <v>70</v>
      </c>
      <c r="D433">
        <v>1</v>
      </c>
      <c r="E433">
        <v>283067.63</v>
      </c>
      <c r="F433">
        <v>283067.63</v>
      </c>
      <c r="G433" s="1">
        <v>45497</v>
      </c>
      <c r="H433" t="s">
        <v>830</v>
      </c>
      <c r="I433" t="str">
        <f t="shared" si="37"/>
        <v>OK</v>
      </c>
      <c r="J433" t="str">
        <f t="shared" si="38"/>
        <v>OK</v>
      </c>
      <c r="K433" t="str">
        <f t="shared" si="39"/>
        <v>Unique</v>
      </c>
      <c r="L433" t="str">
        <f t="shared" si="40"/>
        <v>OK</v>
      </c>
      <c r="M433" t="str">
        <f t="shared" si="41"/>
        <v>CLEAN</v>
      </c>
      <c r="N433" t="str">
        <f t="shared" si="36"/>
        <v/>
      </c>
    </row>
    <row r="434" spans="1:14" x14ac:dyDescent="0.35">
      <c r="A434" t="s">
        <v>831</v>
      </c>
      <c r="B434" t="s">
        <v>105</v>
      </c>
      <c r="C434" t="s">
        <v>12</v>
      </c>
      <c r="D434">
        <v>29</v>
      </c>
      <c r="E434">
        <v>101600.5</v>
      </c>
      <c r="F434">
        <v>2946414.5</v>
      </c>
      <c r="G434" s="1">
        <v>45364</v>
      </c>
      <c r="H434" t="s">
        <v>832</v>
      </c>
      <c r="I434" t="str">
        <f t="shared" si="37"/>
        <v>OK</v>
      </c>
      <c r="J434" t="str">
        <f t="shared" si="38"/>
        <v>OK</v>
      </c>
      <c r="K434" t="str">
        <f t="shared" si="39"/>
        <v>Unique</v>
      </c>
      <c r="L434" t="str">
        <f t="shared" si="40"/>
        <v>OK</v>
      </c>
      <c r="M434" t="str">
        <f t="shared" si="41"/>
        <v>CLEAN</v>
      </c>
      <c r="N434" t="str">
        <f t="shared" si="36"/>
        <v/>
      </c>
    </row>
    <row r="435" spans="1:14" x14ac:dyDescent="0.35">
      <c r="A435" t="s">
        <v>833</v>
      </c>
      <c r="B435" t="s">
        <v>34</v>
      </c>
      <c r="C435" t="s">
        <v>12</v>
      </c>
      <c r="D435">
        <v>26</v>
      </c>
      <c r="E435">
        <v>229126.51</v>
      </c>
      <c r="F435">
        <v>5957289.2599999998</v>
      </c>
      <c r="G435" s="1">
        <v>45490</v>
      </c>
      <c r="H435" t="s">
        <v>834</v>
      </c>
      <c r="I435" t="str">
        <f t="shared" si="37"/>
        <v>OK</v>
      </c>
      <c r="J435" t="str">
        <f t="shared" si="38"/>
        <v>OK</v>
      </c>
      <c r="K435" t="str">
        <f t="shared" si="39"/>
        <v>Unique</v>
      </c>
      <c r="L435" t="str">
        <f t="shared" si="40"/>
        <v>OK</v>
      </c>
      <c r="M435" t="str">
        <f t="shared" si="41"/>
        <v>CLEAN</v>
      </c>
      <c r="N435" t="str">
        <f t="shared" si="36"/>
        <v/>
      </c>
    </row>
    <row r="436" spans="1:14" x14ac:dyDescent="0.35">
      <c r="A436" t="s">
        <v>835</v>
      </c>
      <c r="B436" t="s">
        <v>89</v>
      </c>
      <c r="C436" t="s">
        <v>12</v>
      </c>
      <c r="D436">
        <v>1</v>
      </c>
      <c r="E436">
        <v>146842.01999999999</v>
      </c>
      <c r="F436">
        <v>146842.01999999999</v>
      </c>
      <c r="G436" s="1">
        <v>45388</v>
      </c>
      <c r="H436" t="s">
        <v>1130</v>
      </c>
      <c r="I436" t="str">
        <f t="shared" si="37"/>
        <v>OK</v>
      </c>
      <c r="J436" t="str">
        <f t="shared" si="38"/>
        <v>OK</v>
      </c>
      <c r="K436" t="str">
        <f t="shared" si="39"/>
        <v>Unique</v>
      </c>
      <c r="L436" t="str">
        <f t="shared" si="40"/>
        <v>OK</v>
      </c>
      <c r="M436" t="str">
        <f t="shared" si="41"/>
        <v>CLEAN</v>
      </c>
      <c r="N436" t="str">
        <f t="shared" si="36"/>
        <v/>
      </c>
    </row>
    <row r="437" spans="1:14" x14ac:dyDescent="0.35">
      <c r="A437" t="s">
        <v>836</v>
      </c>
      <c r="B437" t="s">
        <v>11</v>
      </c>
      <c r="C437" t="s">
        <v>46</v>
      </c>
      <c r="D437">
        <v>1</v>
      </c>
      <c r="E437">
        <v>217205.6</v>
      </c>
      <c r="F437">
        <v>217205.6</v>
      </c>
      <c r="G437" s="1">
        <v>45553</v>
      </c>
      <c r="H437" t="s">
        <v>837</v>
      </c>
      <c r="I437" t="str">
        <f t="shared" si="37"/>
        <v>OK</v>
      </c>
      <c r="J437" t="str">
        <f t="shared" si="38"/>
        <v>OK</v>
      </c>
      <c r="K437" t="str">
        <f t="shared" si="39"/>
        <v>Unique</v>
      </c>
      <c r="L437" t="str">
        <f t="shared" si="40"/>
        <v>OK</v>
      </c>
      <c r="M437" t="str">
        <f t="shared" si="41"/>
        <v>CLEAN</v>
      </c>
      <c r="N437" t="str">
        <f t="shared" si="36"/>
        <v/>
      </c>
    </row>
    <row r="438" spans="1:14" x14ac:dyDescent="0.35">
      <c r="A438" t="s">
        <v>838</v>
      </c>
      <c r="B438" t="s">
        <v>31</v>
      </c>
      <c r="C438" t="s">
        <v>70</v>
      </c>
      <c r="D438">
        <v>1</v>
      </c>
      <c r="E438">
        <v>222008.43</v>
      </c>
      <c r="F438">
        <v>222008.43</v>
      </c>
      <c r="G438" s="1">
        <v>45843</v>
      </c>
      <c r="H438" t="s">
        <v>839</v>
      </c>
      <c r="I438" t="str">
        <f t="shared" si="37"/>
        <v>OK</v>
      </c>
      <c r="J438" t="str">
        <f t="shared" si="38"/>
        <v>OK</v>
      </c>
      <c r="K438" t="str">
        <f t="shared" si="39"/>
        <v>Unique</v>
      </c>
      <c r="L438" t="str">
        <f t="shared" si="40"/>
        <v>OK</v>
      </c>
      <c r="M438" t="str">
        <f t="shared" si="41"/>
        <v>CLEAN</v>
      </c>
      <c r="N438" t="str">
        <f t="shared" si="36"/>
        <v/>
      </c>
    </row>
    <row r="439" spans="1:14" x14ac:dyDescent="0.35">
      <c r="A439" t="s">
        <v>840</v>
      </c>
      <c r="B439" t="s">
        <v>16</v>
      </c>
      <c r="C439" t="s">
        <v>27</v>
      </c>
      <c r="D439">
        <v>1</v>
      </c>
      <c r="E439">
        <v>138518.29</v>
      </c>
      <c r="F439">
        <v>138518.29</v>
      </c>
      <c r="G439" s="1">
        <v>45843</v>
      </c>
      <c r="H439" t="s">
        <v>841</v>
      </c>
      <c r="I439" t="str">
        <f t="shared" si="37"/>
        <v>OK</v>
      </c>
      <c r="J439" t="str">
        <f t="shared" si="38"/>
        <v>OK</v>
      </c>
      <c r="K439" t="str">
        <f t="shared" si="39"/>
        <v>Unique</v>
      </c>
      <c r="L439" t="str">
        <f t="shared" si="40"/>
        <v>OK</v>
      </c>
      <c r="M439" t="str">
        <f t="shared" si="41"/>
        <v>CLEAN</v>
      </c>
      <c r="N439" t="str">
        <f t="shared" si="36"/>
        <v/>
      </c>
    </row>
    <row r="440" spans="1:14" x14ac:dyDescent="0.35">
      <c r="A440" t="s">
        <v>842</v>
      </c>
      <c r="B440" t="s">
        <v>85</v>
      </c>
      <c r="C440" t="s">
        <v>17</v>
      </c>
      <c r="D440">
        <v>71</v>
      </c>
      <c r="E440">
        <v>219965.28</v>
      </c>
      <c r="F440">
        <v>15617534.880000001</v>
      </c>
      <c r="G440" s="1">
        <v>45735</v>
      </c>
      <c r="H440" t="s">
        <v>843</v>
      </c>
      <c r="I440" t="str">
        <f t="shared" si="37"/>
        <v>OK</v>
      </c>
      <c r="J440" t="str">
        <f t="shared" si="38"/>
        <v>OK</v>
      </c>
      <c r="K440" t="str">
        <f t="shared" si="39"/>
        <v>Unique</v>
      </c>
      <c r="L440" t="str">
        <f t="shared" si="40"/>
        <v>OK</v>
      </c>
      <c r="M440" t="str">
        <f t="shared" si="41"/>
        <v>CLEAN</v>
      </c>
      <c r="N440" t="str">
        <f t="shared" si="36"/>
        <v/>
      </c>
    </row>
    <row r="441" spans="1:14" x14ac:dyDescent="0.35">
      <c r="A441" t="s">
        <v>844</v>
      </c>
      <c r="B441" t="s">
        <v>79</v>
      </c>
      <c r="C441" t="s">
        <v>12</v>
      </c>
      <c r="D441">
        <v>79</v>
      </c>
      <c r="E441">
        <v>105976.76</v>
      </c>
      <c r="F441">
        <v>8372164.04</v>
      </c>
      <c r="G441" s="1">
        <v>45678</v>
      </c>
      <c r="H441" t="s">
        <v>845</v>
      </c>
      <c r="I441" t="str">
        <f t="shared" si="37"/>
        <v>OK</v>
      </c>
      <c r="J441" t="str">
        <f t="shared" si="38"/>
        <v>OK</v>
      </c>
      <c r="K441" t="str">
        <f t="shared" si="39"/>
        <v>Unique</v>
      </c>
      <c r="L441" t="str">
        <f t="shared" si="40"/>
        <v>OK</v>
      </c>
      <c r="M441" t="str">
        <f t="shared" si="41"/>
        <v>CLEAN</v>
      </c>
      <c r="N441" t="str">
        <f t="shared" si="36"/>
        <v/>
      </c>
    </row>
    <row r="442" spans="1:14" x14ac:dyDescent="0.35">
      <c r="A442" t="s">
        <v>846</v>
      </c>
      <c r="B442" t="s">
        <v>16</v>
      </c>
      <c r="C442" t="s">
        <v>27</v>
      </c>
      <c r="D442">
        <v>1</v>
      </c>
      <c r="E442">
        <v>0</v>
      </c>
      <c r="F442">
        <v>0</v>
      </c>
      <c r="G442" s="1">
        <v>45330</v>
      </c>
      <c r="H442" t="s">
        <v>847</v>
      </c>
      <c r="I442" t="str">
        <f t="shared" si="37"/>
        <v>Check Price</v>
      </c>
      <c r="J442" t="str">
        <f t="shared" si="38"/>
        <v>Zero Sale</v>
      </c>
      <c r="K442" t="str">
        <f t="shared" si="39"/>
        <v>Unique</v>
      </c>
      <c r="L442" t="str">
        <f t="shared" si="40"/>
        <v>OK</v>
      </c>
      <c r="M442" t="str">
        <f t="shared" si="41"/>
        <v>EXCEPTION</v>
      </c>
      <c r="N442" t="str">
        <f t="shared" si="36"/>
        <v>Price Issue, Zero Sale</v>
      </c>
    </row>
    <row r="443" spans="1:14" x14ac:dyDescent="0.35">
      <c r="A443" t="s">
        <v>848</v>
      </c>
      <c r="B443" t="s">
        <v>45</v>
      </c>
      <c r="C443" t="s">
        <v>17</v>
      </c>
      <c r="D443">
        <v>1</v>
      </c>
      <c r="E443">
        <v>42417.58</v>
      </c>
      <c r="F443">
        <v>42417.58</v>
      </c>
      <c r="G443" s="1">
        <v>45341</v>
      </c>
      <c r="H443" t="s">
        <v>849</v>
      </c>
      <c r="I443" t="str">
        <f t="shared" si="37"/>
        <v>OK</v>
      </c>
      <c r="J443" t="str">
        <f t="shared" si="38"/>
        <v>OK</v>
      </c>
      <c r="K443" t="str">
        <f t="shared" si="39"/>
        <v>Unique</v>
      </c>
      <c r="L443" t="str">
        <f t="shared" si="40"/>
        <v>OK</v>
      </c>
      <c r="M443" t="str">
        <f t="shared" si="41"/>
        <v>CLEAN</v>
      </c>
      <c r="N443" t="str">
        <f t="shared" si="36"/>
        <v/>
      </c>
    </row>
    <row r="444" spans="1:14" x14ac:dyDescent="0.35">
      <c r="A444" t="s">
        <v>1047</v>
      </c>
      <c r="B444" t="s">
        <v>31</v>
      </c>
      <c r="C444" t="s">
        <v>23</v>
      </c>
      <c r="D444">
        <v>1</v>
      </c>
      <c r="E444">
        <v>164190.63</v>
      </c>
      <c r="F444">
        <v>164190.63</v>
      </c>
      <c r="G444" s="1">
        <v>45212</v>
      </c>
      <c r="H444" t="s">
        <v>850</v>
      </c>
      <c r="I444" t="str">
        <f t="shared" si="37"/>
        <v>OK</v>
      </c>
      <c r="J444" t="str">
        <f t="shared" si="38"/>
        <v>OK</v>
      </c>
      <c r="K444" t="str">
        <f t="shared" si="39"/>
        <v>Unique</v>
      </c>
      <c r="L444" t="str">
        <f t="shared" si="40"/>
        <v>OK</v>
      </c>
      <c r="M444" t="str">
        <f t="shared" si="41"/>
        <v>CLEAN</v>
      </c>
      <c r="N444" t="str">
        <f t="shared" si="36"/>
        <v/>
      </c>
    </row>
    <row r="445" spans="1:14" x14ac:dyDescent="0.35">
      <c r="A445" t="s">
        <v>851</v>
      </c>
      <c r="B445" t="s">
        <v>61</v>
      </c>
      <c r="C445" t="s">
        <v>17</v>
      </c>
      <c r="D445">
        <v>1</v>
      </c>
      <c r="E445">
        <v>55622.31</v>
      </c>
      <c r="F445">
        <v>55622.31</v>
      </c>
      <c r="G445" s="1">
        <v>45563</v>
      </c>
      <c r="H445" t="s">
        <v>852</v>
      </c>
      <c r="I445" t="str">
        <f t="shared" si="37"/>
        <v>OK</v>
      </c>
      <c r="J445" t="str">
        <f t="shared" si="38"/>
        <v>OK</v>
      </c>
      <c r="K445" t="str">
        <f t="shared" si="39"/>
        <v>Unique</v>
      </c>
      <c r="L445" t="str">
        <f t="shared" si="40"/>
        <v>OK</v>
      </c>
      <c r="M445" t="str">
        <f t="shared" si="41"/>
        <v>CLEAN</v>
      </c>
      <c r="N445" t="str">
        <f t="shared" si="36"/>
        <v/>
      </c>
    </row>
    <row r="446" spans="1:14" x14ac:dyDescent="0.35">
      <c r="A446" t="s">
        <v>853</v>
      </c>
      <c r="B446" t="s">
        <v>42</v>
      </c>
      <c r="C446" t="s">
        <v>23</v>
      </c>
      <c r="D446">
        <v>1</v>
      </c>
      <c r="E446">
        <v>266864.68</v>
      </c>
      <c r="F446">
        <v>266864.68</v>
      </c>
      <c r="G446" s="1">
        <v>45643</v>
      </c>
      <c r="H446" t="s">
        <v>854</v>
      </c>
      <c r="I446" t="str">
        <f t="shared" si="37"/>
        <v>OK</v>
      </c>
      <c r="J446" t="str">
        <f t="shared" si="38"/>
        <v>OK</v>
      </c>
      <c r="K446" t="str">
        <f t="shared" si="39"/>
        <v>Unique</v>
      </c>
      <c r="L446" t="str">
        <f t="shared" si="40"/>
        <v>OK</v>
      </c>
      <c r="M446" t="str">
        <f t="shared" si="41"/>
        <v>CLEAN</v>
      </c>
      <c r="N446" t="str">
        <f t="shared" si="36"/>
        <v/>
      </c>
    </row>
    <row r="447" spans="1:14" x14ac:dyDescent="0.35">
      <c r="A447" t="s">
        <v>855</v>
      </c>
      <c r="B447" t="s">
        <v>109</v>
      </c>
      <c r="C447" t="s">
        <v>90</v>
      </c>
      <c r="D447">
        <v>74</v>
      </c>
      <c r="E447">
        <v>297101.90000000002</v>
      </c>
      <c r="F447">
        <v>21985540.600000001</v>
      </c>
      <c r="G447" s="1">
        <v>45539</v>
      </c>
      <c r="H447" t="s">
        <v>856</v>
      </c>
      <c r="I447" t="str">
        <f t="shared" si="37"/>
        <v>OK</v>
      </c>
      <c r="J447" t="str">
        <f t="shared" si="38"/>
        <v>OK</v>
      </c>
      <c r="K447" t="str">
        <f t="shared" si="39"/>
        <v>Unique</v>
      </c>
      <c r="L447" t="str">
        <f t="shared" si="40"/>
        <v>OK</v>
      </c>
      <c r="M447" t="str">
        <f t="shared" si="41"/>
        <v>CLEAN</v>
      </c>
      <c r="N447" t="str">
        <f t="shared" si="36"/>
        <v/>
      </c>
    </row>
    <row r="448" spans="1:14" x14ac:dyDescent="0.35">
      <c r="A448" t="s">
        <v>857</v>
      </c>
      <c r="B448" t="s">
        <v>89</v>
      </c>
      <c r="C448" t="s">
        <v>17</v>
      </c>
      <c r="D448">
        <v>1</v>
      </c>
      <c r="E448">
        <v>287192.45</v>
      </c>
      <c r="F448">
        <v>287192.45</v>
      </c>
      <c r="G448" s="1">
        <v>45412</v>
      </c>
      <c r="H448" t="s">
        <v>858</v>
      </c>
      <c r="I448" t="str">
        <f t="shared" si="37"/>
        <v>OK</v>
      </c>
      <c r="J448" t="str">
        <f t="shared" si="38"/>
        <v>OK</v>
      </c>
      <c r="K448" t="str">
        <f t="shared" si="39"/>
        <v>Unique</v>
      </c>
      <c r="L448" t="str">
        <f t="shared" si="40"/>
        <v>OK</v>
      </c>
      <c r="M448" t="str">
        <f t="shared" si="41"/>
        <v>CLEAN</v>
      </c>
      <c r="N448" t="str">
        <f t="shared" si="36"/>
        <v/>
      </c>
    </row>
    <row r="449" spans="1:14" x14ac:dyDescent="0.35">
      <c r="A449" t="s">
        <v>859</v>
      </c>
      <c r="B449" t="s">
        <v>42</v>
      </c>
      <c r="C449" t="s">
        <v>23</v>
      </c>
      <c r="D449">
        <v>83</v>
      </c>
      <c r="E449">
        <v>157421.35</v>
      </c>
      <c r="F449">
        <v>13065972.050000001</v>
      </c>
      <c r="G449" s="1">
        <v>45813</v>
      </c>
      <c r="H449" t="s">
        <v>860</v>
      </c>
      <c r="I449" t="str">
        <f t="shared" si="37"/>
        <v>OK</v>
      </c>
      <c r="J449" t="str">
        <f t="shared" si="38"/>
        <v>OK</v>
      </c>
      <c r="K449" t="str">
        <f t="shared" si="39"/>
        <v>Unique</v>
      </c>
      <c r="L449" t="str">
        <f t="shared" si="40"/>
        <v>OK</v>
      </c>
      <c r="M449" t="str">
        <f t="shared" si="41"/>
        <v>CLEAN</v>
      </c>
      <c r="N449" t="str">
        <f t="shared" si="36"/>
        <v/>
      </c>
    </row>
    <row r="450" spans="1:14" x14ac:dyDescent="0.35">
      <c r="A450" t="s">
        <v>861</v>
      </c>
      <c r="B450" t="s">
        <v>61</v>
      </c>
      <c r="C450" t="s">
        <v>12</v>
      </c>
      <c r="D450">
        <v>1</v>
      </c>
      <c r="E450">
        <v>251801.01</v>
      </c>
      <c r="F450">
        <v>251801.01</v>
      </c>
      <c r="G450" s="1">
        <v>45424</v>
      </c>
      <c r="H450" t="s">
        <v>1131</v>
      </c>
      <c r="I450" t="str">
        <f t="shared" si="37"/>
        <v>OK</v>
      </c>
      <c r="J450" t="str">
        <f t="shared" si="38"/>
        <v>OK</v>
      </c>
      <c r="K450" t="str">
        <f t="shared" si="39"/>
        <v>Unique</v>
      </c>
      <c r="L450" t="str">
        <f t="shared" si="40"/>
        <v>OK</v>
      </c>
      <c r="M450" t="str">
        <f t="shared" si="41"/>
        <v>CLEAN</v>
      </c>
      <c r="N450" t="str">
        <f t="shared" ref="N450:N513" si="42">_xlfn.TEXTJOIN(", ",TRUE,
IF(I450&lt;&gt;"OK","Price Issue",""),
IF(J450&lt;&gt;"OK","Zero Sale",""),
IF(K450&lt;&gt;"Unique","Duplicate Order",""),
IF(L450&lt;&gt;"OK","Missing Date","")
)</f>
        <v/>
      </c>
    </row>
    <row r="451" spans="1:14" x14ac:dyDescent="0.35">
      <c r="A451" t="s">
        <v>862</v>
      </c>
      <c r="B451" t="s">
        <v>58</v>
      </c>
      <c r="C451" t="s">
        <v>46</v>
      </c>
      <c r="D451">
        <v>1</v>
      </c>
      <c r="E451">
        <v>22761.96</v>
      </c>
      <c r="F451">
        <v>22761.96</v>
      </c>
      <c r="G451" s="1">
        <v>45753</v>
      </c>
      <c r="H451" t="s">
        <v>863</v>
      </c>
      <c r="I451" t="str">
        <f t="shared" ref="I451:I514" si="43">IF(E451=0,"Check Price","OK")</f>
        <v>OK</v>
      </c>
      <c r="J451" t="str">
        <f t="shared" ref="J451:J514" si="44">IF(F451=0,"Zero Sale","OK")</f>
        <v>OK</v>
      </c>
      <c r="K451" t="str">
        <f t="shared" ref="K451:K514" si="45">IF(COUNTIF($H:$H,H451)&gt;1,"Duplicate","Unique")</f>
        <v>Unique</v>
      </c>
      <c r="L451" t="str">
        <f t="shared" ref="L451:L514" si="46">IF(G451="","Missing Date","OK")</f>
        <v>OK</v>
      </c>
      <c r="M451" t="str">
        <f t="shared" ref="M451:M514" si="47">IF(COUNTIF(I451:J451,"&lt;&gt;OK")&gt;0,"EXCEPTION","CLEAN")</f>
        <v>CLEAN</v>
      </c>
      <c r="N451" t="str">
        <f t="shared" si="42"/>
        <v/>
      </c>
    </row>
    <row r="452" spans="1:14" x14ac:dyDescent="0.35">
      <c r="A452" t="s">
        <v>864</v>
      </c>
      <c r="B452" t="s">
        <v>31</v>
      </c>
      <c r="C452" t="s">
        <v>17</v>
      </c>
      <c r="D452">
        <v>45</v>
      </c>
      <c r="E452">
        <v>0</v>
      </c>
      <c r="F452">
        <v>0</v>
      </c>
      <c r="G452" s="1">
        <v>45386</v>
      </c>
      <c r="H452" t="s">
        <v>865</v>
      </c>
      <c r="I452" t="str">
        <f t="shared" si="43"/>
        <v>Check Price</v>
      </c>
      <c r="J452" t="str">
        <f t="shared" si="44"/>
        <v>Zero Sale</v>
      </c>
      <c r="K452" t="str">
        <f t="shared" si="45"/>
        <v>Unique</v>
      </c>
      <c r="L452" t="str">
        <f t="shared" si="46"/>
        <v>OK</v>
      </c>
      <c r="M452" t="str">
        <f t="shared" si="47"/>
        <v>EXCEPTION</v>
      </c>
      <c r="N452" t="str">
        <f t="shared" si="42"/>
        <v>Price Issue, Zero Sale</v>
      </c>
    </row>
    <row r="453" spans="1:14" x14ac:dyDescent="0.35">
      <c r="A453" t="s">
        <v>866</v>
      </c>
      <c r="B453" t="s">
        <v>105</v>
      </c>
      <c r="C453" t="s">
        <v>55</v>
      </c>
      <c r="D453">
        <v>1</v>
      </c>
      <c r="E453">
        <v>245489.78</v>
      </c>
      <c r="F453">
        <v>245489.78</v>
      </c>
      <c r="G453" s="1">
        <v>45718</v>
      </c>
      <c r="H453" t="s">
        <v>867</v>
      </c>
      <c r="I453" t="str">
        <f t="shared" si="43"/>
        <v>OK</v>
      </c>
      <c r="J453" t="str">
        <f t="shared" si="44"/>
        <v>OK</v>
      </c>
      <c r="K453" t="str">
        <f t="shared" si="45"/>
        <v>Unique</v>
      </c>
      <c r="L453" t="str">
        <f t="shared" si="46"/>
        <v>OK</v>
      </c>
      <c r="M453" t="str">
        <f t="shared" si="47"/>
        <v>CLEAN</v>
      </c>
      <c r="N453" t="str">
        <f t="shared" si="42"/>
        <v/>
      </c>
    </row>
    <row r="454" spans="1:14" x14ac:dyDescent="0.35">
      <c r="A454" t="s">
        <v>868</v>
      </c>
      <c r="B454" t="s">
        <v>79</v>
      </c>
      <c r="C454" t="s">
        <v>23</v>
      </c>
      <c r="D454">
        <v>1</v>
      </c>
      <c r="E454">
        <v>15030.06</v>
      </c>
      <c r="F454">
        <v>15030.06</v>
      </c>
      <c r="G454" s="1">
        <v>45742</v>
      </c>
      <c r="H454" t="s">
        <v>869</v>
      </c>
      <c r="I454" t="str">
        <f t="shared" si="43"/>
        <v>OK</v>
      </c>
      <c r="J454" t="str">
        <f t="shared" si="44"/>
        <v>OK</v>
      </c>
      <c r="K454" t="str">
        <f t="shared" si="45"/>
        <v>Unique</v>
      </c>
      <c r="L454" t="str">
        <f t="shared" si="46"/>
        <v>OK</v>
      </c>
      <c r="M454" t="str">
        <f t="shared" si="47"/>
        <v>CLEAN</v>
      </c>
      <c r="N454" t="str">
        <f t="shared" si="42"/>
        <v/>
      </c>
    </row>
    <row r="455" spans="1:14" x14ac:dyDescent="0.35">
      <c r="A455" t="s">
        <v>870</v>
      </c>
      <c r="B455" t="s">
        <v>53</v>
      </c>
      <c r="C455" t="s">
        <v>70</v>
      </c>
      <c r="D455">
        <v>24</v>
      </c>
      <c r="E455">
        <v>2411.96</v>
      </c>
      <c r="F455">
        <v>57887.040000000001</v>
      </c>
      <c r="G455" s="1">
        <v>45231</v>
      </c>
      <c r="H455" t="s">
        <v>871</v>
      </c>
      <c r="I455" t="str">
        <f t="shared" si="43"/>
        <v>OK</v>
      </c>
      <c r="J455" t="str">
        <f t="shared" si="44"/>
        <v>OK</v>
      </c>
      <c r="K455" t="str">
        <f t="shared" si="45"/>
        <v>Unique</v>
      </c>
      <c r="L455" t="str">
        <f t="shared" si="46"/>
        <v>OK</v>
      </c>
      <c r="M455" t="str">
        <f t="shared" si="47"/>
        <v>CLEAN</v>
      </c>
      <c r="N455" t="str">
        <f t="shared" si="42"/>
        <v/>
      </c>
    </row>
    <row r="456" spans="1:14" x14ac:dyDescent="0.35">
      <c r="A456" t="s">
        <v>872</v>
      </c>
      <c r="B456" t="s">
        <v>16</v>
      </c>
      <c r="C456" t="s">
        <v>23</v>
      </c>
      <c r="D456">
        <v>1</v>
      </c>
      <c r="E456">
        <v>41678.71</v>
      </c>
      <c r="F456">
        <v>41678.71</v>
      </c>
      <c r="G456" s="1">
        <v>45343</v>
      </c>
      <c r="H456" t="s">
        <v>873</v>
      </c>
      <c r="I456" t="str">
        <f t="shared" si="43"/>
        <v>OK</v>
      </c>
      <c r="J456" t="str">
        <f t="shared" si="44"/>
        <v>OK</v>
      </c>
      <c r="K456" t="str">
        <f t="shared" si="45"/>
        <v>Unique</v>
      </c>
      <c r="L456" t="str">
        <f t="shared" si="46"/>
        <v>OK</v>
      </c>
      <c r="M456" t="str">
        <f t="shared" si="47"/>
        <v>CLEAN</v>
      </c>
      <c r="N456" t="str">
        <f t="shared" si="42"/>
        <v/>
      </c>
    </row>
    <row r="457" spans="1:14" x14ac:dyDescent="0.35">
      <c r="A457" t="s">
        <v>1047</v>
      </c>
      <c r="B457" t="s">
        <v>45</v>
      </c>
      <c r="C457" t="s">
        <v>17</v>
      </c>
      <c r="D457">
        <v>8</v>
      </c>
      <c r="E457">
        <v>189395.14</v>
      </c>
      <c r="F457">
        <v>1515161.12</v>
      </c>
      <c r="G457" s="1">
        <v>45150</v>
      </c>
      <c r="H457" t="s">
        <v>874</v>
      </c>
      <c r="I457" t="str">
        <f t="shared" si="43"/>
        <v>OK</v>
      </c>
      <c r="J457" t="str">
        <f t="shared" si="44"/>
        <v>OK</v>
      </c>
      <c r="K457" t="str">
        <f t="shared" si="45"/>
        <v>Unique</v>
      </c>
      <c r="L457" t="str">
        <f t="shared" si="46"/>
        <v>OK</v>
      </c>
      <c r="M457" t="str">
        <f t="shared" si="47"/>
        <v>CLEAN</v>
      </c>
      <c r="N457" t="str">
        <f t="shared" si="42"/>
        <v/>
      </c>
    </row>
    <row r="458" spans="1:14" x14ac:dyDescent="0.35">
      <c r="A458" t="s">
        <v>875</v>
      </c>
      <c r="B458" t="s">
        <v>42</v>
      </c>
      <c r="C458" t="s">
        <v>23</v>
      </c>
      <c r="D458">
        <v>67</v>
      </c>
      <c r="E458">
        <v>20856.400000000001</v>
      </c>
      <c r="F458">
        <v>1397378.8</v>
      </c>
      <c r="G458" s="1">
        <v>45341</v>
      </c>
      <c r="H458" t="s">
        <v>876</v>
      </c>
      <c r="I458" t="str">
        <f t="shared" si="43"/>
        <v>OK</v>
      </c>
      <c r="J458" t="str">
        <f t="shared" si="44"/>
        <v>OK</v>
      </c>
      <c r="K458" t="str">
        <f t="shared" si="45"/>
        <v>Unique</v>
      </c>
      <c r="L458" t="str">
        <f t="shared" si="46"/>
        <v>OK</v>
      </c>
      <c r="M458" t="str">
        <f t="shared" si="47"/>
        <v>CLEAN</v>
      </c>
      <c r="N458" t="str">
        <f t="shared" si="42"/>
        <v/>
      </c>
    </row>
    <row r="459" spans="1:14" x14ac:dyDescent="0.35">
      <c r="A459" t="s">
        <v>877</v>
      </c>
      <c r="B459" t="s">
        <v>11</v>
      </c>
      <c r="C459" t="s">
        <v>27</v>
      </c>
      <c r="D459">
        <v>39</v>
      </c>
      <c r="E459">
        <v>45733.38</v>
      </c>
      <c r="F459">
        <v>1783601.8199999998</v>
      </c>
      <c r="G459" s="1">
        <v>45672</v>
      </c>
      <c r="H459" t="s">
        <v>878</v>
      </c>
      <c r="I459" t="str">
        <f t="shared" si="43"/>
        <v>OK</v>
      </c>
      <c r="J459" t="str">
        <f t="shared" si="44"/>
        <v>OK</v>
      </c>
      <c r="K459" t="str">
        <f t="shared" si="45"/>
        <v>Unique</v>
      </c>
      <c r="L459" t="str">
        <f t="shared" si="46"/>
        <v>OK</v>
      </c>
      <c r="M459" t="str">
        <f t="shared" si="47"/>
        <v>CLEAN</v>
      </c>
      <c r="N459" t="str">
        <f t="shared" si="42"/>
        <v/>
      </c>
    </row>
    <row r="460" spans="1:14" x14ac:dyDescent="0.35">
      <c r="A460" t="s">
        <v>879</v>
      </c>
      <c r="B460" t="s">
        <v>58</v>
      </c>
      <c r="C460" t="s">
        <v>70</v>
      </c>
      <c r="D460">
        <v>1</v>
      </c>
      <c r="E460">
        <v>66006.539999999994</v>
      </c>
      <c r="F460">
        <v>66006.539999999994</v>
      </c>
      <c r="G460" s="1">
        <v>45179</v>
      </c>
      <c r="H460" t="s">
        <v>880</v>
      </c>
      <c r="I460" t="str">
        <f t="shared" si="43"/>
        <v>OK</v>
      </c>
      <c r="J460" t="str">
        <f t="shared" si="44"/>
        <v>OK</v>
      </c>
      <c r="K460" t="str">
        <f t="shared" si="45"/>
        <v>Unique</v>
      </c>
      <c r="L460" t="str">
        <f t="shared" si="46"/>
        <v>OK</v>
      </c>
      <c r="M460" t="str">
        <f t="shared" si="47"/>
        <v>CLEAN</v>
      </c>
      <c r="N460" t="str">
        <f t="shared" si="42"/>
        <v/>
      </c>
    </row>
    <row r="461" spans="1:14" x14ac:dyDescent="0.35">
      <c r="A461" t="s">
        <v>881</v>
      </c>
      <c r="B461" t="s">
        <v>34</v>
      </c>
      <c r="C461" t="s">
        <v>17</v>
      </c>
      <c r="D461">
        <v>91</v>
      </c>
      <c r="E461">
        <v>137074.89000000001</v>
      </c>
      <c r="F461">
        <v>12473814.990000002</v>
      </c>
      <c r="G461" s="1">
        <v>45387</v>
      </c>
      <c r="H461" t="s">
        <v>882</v>
      </c>
      <c r="I461" t="str">
        <f t="shared" si="43"/>
        <v>OK</v>
      </c>
      <c r="J461" t="str">
        <f t="shared" si="44"/>
        <v>OK</v>
      </c>
      <c r="K461" t="str">
        <f t="shared" si="45"/>
        <v>Unique</v>
      </c>
      <c r="L461" t="str">
        <f t="shared" si="46"/>
        <v>OK</v>
      </c>
      <c r="M461" t="str">
        <f t="shared" si="47"/>
        <v>CLEAN</v>
      </c>
      <c r="N461" t="str">
        <f t="shared" si="42"/>
        <v/>
      </c>
    </row>
    <row r="462" spans="1:14" x14ac:dyDescent="0.35">
      <c r="A462" t="s">
        <v>883</v>
      </c>
      <c r="B462" t="s">
        <v>53</v>
      </c>
      <c r="C462" t="s">
        <v>46</v>
      </c>
      <c r="D462">
        <v>1</v>
      </c>
      <c r="E462">
        <v>0</v>
      </c>
      <c r="F462">
        <v>0</v>
      </c>
      <c r="G462" s="1">
        <v>45835</v>
      </c>
      <c r="H462" t="s">
        <v>884</v>
      </c>
      <c r="I462" t="str">
        <f t="shared" si="43"/>
        <v>Check Price</v>
      </c>
      <c r="J462" t="str">
        <f t="shared" si="44"/>
        <v>Zero Sale</v>
      </c>
      <c r="K462" t="str">
        <f t="shared" si="45"/>
        <v>Unique</v>
      </c>
      <c r="L462" t="str">
        <f t="shared" si="46"/>
        <v>OK</v>
      </c>
      <c r="M462" t="str">
        <f t="shared" si="47"/>
        <v>EXCEPTION</v>
      </c>
      <c r="N462" t="str">
        <f t="shared" si="42"/>
        <v>Price Issue, Zero Sale</v>
      </c>
    </row>
    <row r="463" spans="1:14" x14ac:dyDescent="0.35">
      <c r="A463" t="s">
        <v>885</v>
      </c>
      <c r="B463" t="s">
        <v>109</v>
      </c>
      <c r="C463" t="s">
        <v>27</v>
      </c>
      <c r="D463">
        <v>37</v>
      </c>
      <c r="E463">
        <v>18604.810000000001</v>
      </c>
      <c r="F463">
        <v>688377.97000000009</v>
      </c>
      <c r="G463" s="1">
        <v>45461</v>
      </c>
      <c r="H463" t="s">
        <v>886</v>
      </c>
      <c r="I463" t="str">
        <f t="shared" si="43"/>
        <v>OK</v>
      </c>
      <c r="J463" t="str">
        <f t="shared" si="44"/>
        <v>OK</v>
      </c>
      <c r="K463" t="str">
        <f t="shared" si="45"/>
        <v>Unique</v>
      </c>
      <c r="L463" t="str">
        <f t="shared" si="46"/>
        <v>OK</v>
      </c>
      <c r="M463" t="str">
        <f t="shared" si="47"/>
        <v>CLEAN</v>
      </c>
      <c r="N463" t="str">
        <f t="shared" si="42"/>
        <v/>
      </c>
    </row>
    <row r="464" spans="1:14" x14ac:dyDescent="0.35">
      <c r="A464" t="s">
        <v>887</v>
      </c>
      <c r="B464" t="s">
        <v>42</v>
      </c>
      <c r="C464" t="s">
        <v>70</v>
      </c>
      <c r="D464">
        <v>33</v>
      </c>
      <c r="E464">
        <v>191499.71</v>
      </c>
      <c r="F464">
        <v>6319490.4299999997</v>
      </c>
      <c r="G464" s="1">
        <v>45627</v>
      </c>
      <c r="H464" t="s">
        <v>1132</v>
      </c>
      <c r="I464" t="str">
        <f t="shared" si="43"/>
        <v>OK</v>
      </c>
      <c r="J464" t="str">
        <f t="shared" si="44"/>
        <v>OK</v>
      </c>
      <c r="K464" t="str">
        <f t="shared" si="45"/>
        <v>Unique</v>
      </c>
      <c r="L464" t="str">
        <f t="shared" si="46"/>
        <v>OK</v>
      </c>
      <c r="M464" t="str">
        <f t="shared" si="47"/>
        <v>CLEAN</v>
      </c>
      <c r="N464" t="str">
        <f t="shared" si="42"/>
        <v/>
      </c>
    </row>
    <row r="465" spans="1:14" x14ac:dyDescent="0.35">
      <c r="A465" t="s">
        <v>888</v>
      </c>
      <c r="B465" t="s">
        <v>37</v>
      </c>
      <c r="C465" t="s">
        <v>55</v>
      </c>
      <c r="D465">
        <v>1</v>
      </c>
      <c r="E465">
        <v>280204.15999999997</v>
      </c>
      <c r="F465">
        <v>280204.15999999997</v>
      </c>
      <c r="G465" s="1">
        <v>45317</v>
      </c>
      <c r="H465" t="s">
        <v>889</v>
      </c>
      <c r="I465" t="str">
        <f t="shared" si="43"/>
        <v>OK</v>
      </c>
      <c r="J465" t="str">
        <f t="shared" si="44"/>
        <v>OK</v>
      </c>
      <c r="K465" t="str">
        <f t="shared" si="45"/>
        <v>Unique</v>
      </c>
      <c r="L465" t="str">
        <f t="shared" si="46"/>
        <v>OK</v>
      </c>
      <c r="M465" t="str">
        <f t="shared" si="47"/>
        <v>CLEAN</v>
      </c>
      <c r="N465" t="str">
        <f t="shared" si="42"/>
        <v/>
      </c>
    </row>
    <row r="466" spans="1:14" x14ac:dyDescent="0.35">
      <c r="A466" t="s">
        <v>890</v>
      </c>
      <c r="B466" t="s">
        <v>89</v>
      </c>
      <c r="C466" t="s">
        <v>23</v>
      </c>
      <c r="D466">
        <v>36</v>
      </c>
      <c r="E466">
        <v>273869.06</v>
      </c>
      <c r="F466">
        <v>9859286.1600000001</v>
      </c>
      <c r="G466" s="1">
        <v>45698</v>
      </c>
      <c r="H466" t="s">
        <v>891</v>
      </c>
      <c r="I466" t="str">
        <f t="shared" si="43"/>
        <v>OK</v>
      </c>
      <c r="J466" t="str">
        <f t="shared" si="44"/>
        <v>OK</v>
      </c>
      <c r="K466" t="str">
        <f t="shared" si="45"/>
        <v>Unique</v>
      </c>
      <c r="L466" t="str">
        <f t="shared" si="46"/>
        <v>OK</v>
      </c>
      <c r="M466" t="str">
        <f t="shared" si="47"/>
        <v>CLEAN</v>
      </c>
      <c r="N466" t="str">
        <f t="shared" si="42"/>
        <v/>
      </c>
    </row>
    <row r="467" spans="1:14" x14ac:dyDescent="0.35">
      <c r="A467" t="s">
        <v>892</v>
      </c>
      <c r="B467" t="s">
        <v>61</v>
      </c>
      <c r="C467" t="s">
        <v>23</v>
      </c>
      <c r="D467">
        <v>1</v>
      </c>
      <c r="E467">
        <v>197955.66</v>
      </c>
      <c r="F467">
        <v>197955.66</v>
      </c>
      <c r="G467" s="1">
        <v>45490</v>
      </c>
      <c r="H467" t="s">
        <v>893</v>
      </c>
      <c r="I467" t="str">
        <f t="shared" si="43"/>
        <v>OK</v>
      </c>
      <c r="J467" t="str">
        <f t="shared" si="44"/>
        <v>OK</v>
      </c>
      <c r="K467" t="str">
        <f t="shared" si="45"/>
        <v>Unique</v>
      </c>
      <c r="L467" t="str">
        <f t="shared" si="46"/>
        <v>OK</v>
      </c>
      <c r="M467" t="str">
        <f t="shared" si="47"/>
        <v>CLEAN</v>
      </c>
      <c r="N467" t="str">
        <f t="shared" si="42"/>
        <v/>
      </c>
    </row>
    <row r="468" spans="1:14" x14ac:dyDescent="0.35">
      <c r="A468" t="s">
        <v>894</v>
      </c>
      <c r="B468" t="s">
        <v>89</v>
      </c>
      <c r="C468" t="s">
        <v>90</v>
      </c>
      <c r="D468">
        <v>1</v>
      </c>
      <c r="E468">
        <v>5211.66</v>
      </c>
      <c r="F468">
        <v>5211.66</v>
      </c>
      <c r="G468" s="1">
        <v>45284</v>
      </c>
      <c r="H468" t="s">
        <v>895</v>
      </c>
      <c r="I468" t="str">
        <f t="shared" si="43"/>
        <v>OK</v>
      </c>
      <c r="J468" t="str">
        <f t="shared" si="44"/>
        <v>OK</v>
      </c>
      <c r="K468" t="str">
        <f t="shared" si="45"/>
        <v>Unique</v>
      </c>
      <c r="L468" t="str">
        <f t="shared" si="46"/>
        <v>OK</v>
      </c>
      <c r="M468" t="str">
        <f t="shared" si="47"/>
        <v>CLEAN</v>
      </c>
      <c r="N468" t="str">
        <f t="shared" si="42"/>
        <v/>
      </c>
    </row>
    <row r="469" spans="1:14" x14ac:dyDescent="0.35">
      <c r="A469" t="s">
        <v>896</v>
      </c>
      <c r="B469" t="s">
        <v>31</v>
      </c>
      <c r="C469" t="s">
        <v>70</v>
      </c>
      <c r="D469">
        <v>1</v>
      </c>
      <c r="E469">
        <v>159897.64000000001</v>
      </c>
      <c r="F469">
        <v>159897.64000000001</v>
      </c>
      <c r="G469" s="1">
        <v>45274</v>
      </c>
      <c r="H469" t="s">
        <v>897</v>
      </c>
      <c r="I469" t="str">
        <f t="shared" si="43"/>
        <v>OK</v>
      </c>
      <c r="J469" t="str">
        <f t="shared" si="44"/>
        <v>OK</v>
      </c>
      <c r="K469" t="str">
        <f t="shared" si="45"/>
        <v>Unique</v>
      </c>
      <c r="L469" t="str">
        <f t="shared" si="46"/>
        <v>OK</v>
      </c>
      <c r="M469" t="str">
        <f t="shared" si="47"/>
        <v>CLEAN</v>
      </c>
      <c r="N469" t="str">
        <f t="shared" si="42"/>
        <v/>
      </c>
    </row>
    <row r="470" spans="1:14" x14ac:dyDescent="0.35">
      <c r="A470" t="s">
        <v>1047</v>
      </c>
      <c r="B470" t="s">
        <v>131</v>
      </c>
      <c r="C470" t="s">
        <v>23</v>
      </c>
      <c r="D470">
        <v>83</v>
      </c>
      <c r="E470">
        <v>123695.88</v>
      </c>
      <c r="F470">
        <v>10266758.040000001</v>
      </c>
      <c r="G470" s="1">
        <v>45761</v>
      </c>
      <c r="H470" t="s">
        <v>898</v>
      </c>
      <c r="I470" t="str">
        <f t="shared" si="43"/>
        <v>OK</v>
      </c>
      <c r="J470" t="str">
        <f t="shared" si="44"/>
        <v>OK</v>
      </c>
      <c r="K470" t="str">
        <f t="shared" si="45"/>
        <v>Unique</v>
      </c>
      <c r="L470" t="str">
        <f t="shared" si="46"/>
        <v>OK</v>
      </c>
      <c r="M470" t="str">
        <f t="shared" si="47"/>
        <v>CLEAN</v>
      </c>
      <c r="N470" t="str">
        <f t="shared" si="42"/>
        <v/>
      </c>
    </row>
    <row r="471" spans="1:14" x14ac:dyDescent="0.35">
      <c r="A471" t="s">
        <v>899</v>
      </c>
      <c r="B471" t="s">
        <v>58</v>
      </c>
      <c r="C471" t="s">
        <v>90</v>
      </c>
      <c r="D471">
        <v>1</v>
      </c>
      <c r="E471">
        <v>5509.48</v>
      </c>
      <c r="F471">
        <v>5509.48</v>
      </c>
      <c r="G471" s="1">
        <v>45536</v>
      </c>
      <c r="H471" t="s">
        <v>900</v>
      </c>
      <c r="I471" t="str">
        <f t="shared" si="43"/>
        <v>OK</v>
      </c>
      <c r="J471" t="str">
        <f t="shared" si="44"/>
        <v>OK</v>
      </c>
      <c r="K471" t="str">
        <f t="shared" si="45"/>
        <v>Unique</v>
      </c>
      <c r="L471" t="str">
        <f t="shared" si="46"/>
        <v>OK</v>
      </c>
      <c r="M471" t="str">
        <f t="shared" si="47"/>
        <v>CLEAN</v>
      </c>
      <c r="N471" t="str">
        <f t="shared" si="42"/>
        <v/>
      </c>
    </row>
    <row r="472" spans="1:14" x14ac:dyDescent="0.35">
      <c r="A472" t="s">
        <v>901</v>
      </c>
      <c r="B472" t="s">
        <v>131</v>
      </c>
      <c r="C472" t="s">
        <v>90</v>
      </c>
      <c r="D472">
        <v>20</v>
      </c>
      <c r="E472">
        <v>0</v>
      </c>
      <c r="F472">
        <v>0</v>
      </c>
      <c r="G472" s="1">
        <v>45328</v>
      </c>
      <c r="H472" t="s">
        <v>902</v>
      </c>
      <c r="I472" t="str">
        <f t="shared" si="43"/>
        <v>Check Price</v>
      </c>
      <c r="J472" t="str">
        <f t="shared" si="44"/>
        <v>Zero Sale</v>
      </c>
      <c r="K472" t="str">
        <f t="shared" si="45"/>
        <v>Unique</v>
      </c>
      <c r="L472" t="str">
        <f t="shared" si="46"/>
        <v>OK</v>
      </c>
      <c r="M472" t="str">
        <f t="shared" si="47"/>
        <v>EXCEPTION</v>
      </c>
      <c r="N472" t="str">
        <f t="shared" si="42"/>
        <v>Price Issue, Zero Sale</v>
      </c>
    </row>
    <row r="473" spans="1:14" x14ac:dyDescent="0.35">
      <c r="A473" t="s">
        <v>903</v>
      </c>
      <c r="B473" t="s">
        <v>42</v>
      </c>
      <c r="C473" t="s">
        <v>17</v>
      </c>
      <c r="D473">
        <v>1</v>
      </c>
      <c r="E473">
        <v>216796.72</v>
      </c>
      <c r="F473">
        <v>216796.72</v>
      </c>
      <c r="G473" s="1">
        <v>45842</v>
      </c>
      <c r="H473" t="s">
        <v>904</v>
      </c>
      <c r="I473" t="str">
        <f t="shared" si="43"/>
        <v>OK</v>
      </c>
      <c r="J473" t="str">
        <f t="shared" si="44"/>
        <v>OK</v>
      </c>
      <c r="K473" t="str">
        <f t="shared" si="45"/>
        <v>Unique</v>
      </c>
      <c r="L473" t="str">
        <f t="shared" si="46"/>
        <v>OK</v>
      </c>
      <c r="M473" t="str">
        <f t="shared" si="47"/>
        <v>CLEAN</v>
      </c>
      <c r="N473" t="str">
        <f t="shared" si="42"/>
        <v/>
      </c>
    </row>
    <row r="474" spans="1:14" x14ac:dyDescent="0.35">
      <c r="A474" t="s">
        <v>905</v>
      </c>
      <c r="B474" t="s">
        <v>89</v>
      </c>
      <c r="C474" t="s">
        <v>23</v>
      </c>
      <c r="D474">
        <v>1</v>
      </c>
      <c r="E474">
        <v>160953.56</v>
      </c>
      <c r="F474">
        <v>160953.56</v>
      </c>
      <c r="G474" s="1">
        <v>45554</v>
      </c>
      <c r="H474" t="s">
        <v>906</v>
      </c>
      <c r="I474" t="str">
        <f t="shared" si="43"/>
        <v>OK</v>
      </c>
      <c r="J474" t="str">
        <f t="shared" si="44"/>
        <v>OK</v>
      </c>
      <c r="K474" t="str">
        <f t="shared" si="45"/>
        <v>Unique</v>
      </c>
      <c r="L474" t="str">
        <f t="shared" si="46"/>
        <v>OK</v>
      </c>
      <c r="M474" t="str">
        <f t="shared" si="47"/>
        <v>CLEAN</v>
      </c>
      <c r="N474" t="str">
        <f t="shared" si="42"/>
        <v/>
      </c>
    </row>
    <row r="475" spans="1:14" x14ac:dyDescent="0.35">
      <c r="A475" t="s">
        <v>907</v>
      </c>
      <c r="B475" t="s">
        <v>105</v>
      </c>
      <c r="C475" t="s">
        <v>27</v>
      </c>
      <c r="D475">
        <v>1</v>
      </c>
      <c r="E475">
        <v>86363.22</v>
      </c>
      <c r="F475">
        <v>86363.22</v>
      </c>
      <c r="G475" s="1">
        <v>45658</v>
      </c>
      <c r="H475" t="s">
        <v>908</v>
      </c>
      <c r="I475" t="str">
        <f t="shared" si="43"/>
        <v>OK</v>
      </c>
      <c r="J475" t="str">
        <f t="shared" si="44"/>
        <v>OK</v>
      </c>
      <c r="K475" t="str">
        <f t="shared" si="45"/>
        <v>Unique</v>
      </c>
      <c r="L475" t="str">
        <f t="shared" si="46"/>
        <v>OK</v>
      </c>
      <c r="M475" t="str">
        <f t="shared" si="47"/>
        <v>CLEAN</v>
      </c>
      <c r="N475" t="str">
        <f t="shared" si="42"/>
        <v/>
      </c>
    </row>
    <row r="476" spans="1:14" x14ac:dyDescent="0.35">
      <c r="A476" t="s">
        <v>909</v>
      </c>
      <c r="B476" t="s">
        <v>131</v>
      </c>
      <c r="C476" t="s">
        <v>55</v>
      </c>
      <c r="D476">
        <v>6</v>
      </c>
      <c r="E476">
        <v>150913.70000000001</v>
      </c>
      <c r="F476">
        <v>905482.20000000007</v>
      </c>
      <c r="G476" s="1">
        <v>45328</v>
      </c>
      <c r="H476" t="s">
        <v>910</v>
      </c>
      <c r="I476" t="str">
        <f t="shared" si="43"/>
        <v>OK</v>
      </c>
      <c r="J476" t="str">
        <f t="shared" si="44"/>
        <v>OK</v>
      </c>
      <c r="K476" t="str">
        <f t="shared" si="45"/>
        <v>Unique</v>
      </c>
      <c r="L476" t="str">
        <f t="shared" si="46"/>
        <v>OK</v>
      </c>
      <c r="M476" t="str">
        <f t="shared" si="47"/>
        <v>CLEAN</v>
      </c>
      <c r="N476" t="str">
        <f t="shared" si="42"/>
        <v/>
      </c>
    </row>
    <row r="477" spans="1:14" x14ac:dyDescent="0.35">
      <c r="A477" t="s">
        <v>911</v>
      </c>
      <c r="B477" t="s">
        <v>34</v>
      </c>
      <c r="C477" t="s">
        <v>27</v>
      </c>
      <c r="D477">
        <v>11</v>
      </c>
      <c r="E477">
        <v>209508.79</v>
      </c>
      <c r="F477">
        <v>2304596.69</v>
      </c>
      <c r="G477" s="1">
        <v>45224</v>
      </c>
      <c r="H477" t="s">
        <v>912</v>
      </c>
      <c r="I477" t="str">
        <f t="shared" si="43"/>
        <v>OK</v>
      </c>
      <c r="J477" t="str">
        <f t="shared" si="44"/>
        <v>OK</v>
      </c>
      <c r="K477" t="str">
        <f t="shared" si="45"/>
        <v>Unique</v>
      </c>
      <c r="L477" t="str">
        <f t="shared" si="46"/>
        <v>OK</v>
      </c>
      <c r="M477" t="str">
        <f t="shared" si="47"/>
        <v>CLEAN</v>
      </c>
      <c r="N477" t="str">
        <f t="shared" si="42"/>
        <v/>
      </c>
    </row>
    <row r="478" spans="1:14" x14ac:dyDescent="0.35">
      <c r="A478" t="s">
        <v>913</v>
      </c>
      <c r="B478" t="s">
        <v>26</v>
      </c>
      <c r="C478" t="s">
        <v>27</v>
      </c>
      <c r="D478">
        <v>1</v>
      </c>
      <c r="E478">
        <v>129456.68</v>
      </c>
      <c r="F478">
        <v>129456.68</v>
      </c>
      <c r="G478" s="1">
        <v>45202</v>
      </c>
      <c r="H478" t="s">
        <v>1133</v>
      </c>
      <c r="I478" t="str">
        <f t="shared" si="43"/>
        <v>OK</v>
      </c>
      <c r="J478" t="str">
        <f t="shared" si="44"/>
        <v>OK</v>
      </c>
      <c r="K478" t="str">
        <f t="shared" si="45"/>
        <v>Unique</v>
      </c>
      <c r="L478" t="str">
        <f t="shared" si="46"/>
        <v>OK</v>
      </c>
      <c r="M478" t="str">
        <f t="shared" si="47"/>
        <v>CLEAN</v>
      </c>
      <c r="N478" t="str">
        <f t="shared" si="42"/>
        <v/>
      </c>
    </row>
    <row r="479" spans="1:14" x14ac:dyDescent="0.35">
      <c r="A479" t="s">
        <v>914</v>
      </c>
      <c r="B479" t="s">
        <v>53</v>
      </c>
      <c r="C479" t="s">
        <v>23</v>
      </c>
      <c r="D479">
        <v>1</v>
      </c>
      <c r="E479">
        <v>281943.71999999997</v>
      </c>
      <c r="F479">
        <v>281943.71999999997</v>
      </c>
      <c r="G479" s="1">
        <v>45596</v>
      </c>
      <c r="H479" t="s">
        <v>915</v>
      </c>
      <c r="I479" t="str">
        <f t="shared" si="43"/>
        <v>OK</v>
      </c>
      <c r="J479" t="str">
        <f t="shared" si="44"/>
        <v>OK</v>
      </c>
      <c r="K479" t="str">
        <f t="shared" si="45"/>
        <v>Unique</v>
      </c>
      <c r="L479" t="str">
        <f t="shared" si="46"/>
        <v>OK</v>
      </c>
      <c r="M479" t="str">
        <f t="shared" si="47"/>
        <v>CLEAN</v>
      </c>
      <c r="N479" t="str">
        <f t="shared" si="42"/>
        <v/>
      </c>
    </row>
    <row r="480" spans="1:14" x14ac:dyDescent="0.35">
      <c r="A480" t="s">
        <v>916</v>
      </c>
      <c r="B480" t="s">
        <v>42</v>
      </c>
      <c r="C480" t="s">
        <v>12</v>
      </c>
      <c r="D480">
        <v>1</v>
      </c>
      <c r="E480">
        <v>54190.42</v>
      </c>
      <c r="F480">
        <v>54190.42</v>
      </c>
      <c r="G480" s="1">
        <v>45693</v>
      </c>
      <c r="H480" s="2" t="s">
        <v>917</v>
      </c>
      <c r="I480" t="str">
        <f t="shared" si="43"/>
        <v>OK</v>
      </c>
      <c r="J480" t="str">
        <f t="shared" si="44"/>
        <v>OK</v>
      </c>
      <c r="K480" t="str">
        <f t="shared" si="45"/>
        <v>Unique</v>
      </c>
      <c r="L480" t="str">
        <f t="shared" si="46"/>
        <v>OK</v>
      </c>
      <c r="M480" t="str">
        <f t="shared" si="47"/>
        <v>CLEAN</v>
      </c>
      <c r="N480" t="str">
        <f t="shared" si="42"/>
        <v/>
      </c>
    </row>
    <row r="481" spans="1:14" x14ac:dyDescent="0.35">
      <c r="A481" t="s">
        <v>918</v>
      </c>
      <c r="B481" t="s">
        <v>105</v>
      </c>
      <c r="C481" t="s">
        <v>46</v>
      </c>
      <c r="D481">
        <v>1</v>
      </c>
      <c r="E481">
        <v>275455.63</v>
      </c>
      <c r="F481">
        <v>275455.63</v>
      </c>
      <c r="G481" s="1">
        <v>45573</v>
      </c>
      <c r="H481" t="s">
        <v>919</v>
      </c>
      <c r="I481" t="str">
        <f t="shared" si="43"/>
        <v>OK</v>
      </c>
      <c r="J481" t="str">
        <f t="shared" si="44"/>
        <v>OK</v>
      </c>
      <c r="K481" t="str">
        <f t="shared" si="45"/>
        <v>Unique</v>
      </c>
      <c r="L481" t="str">
        <f t="shared" si="46"/>
        <v>OK</v>
      </c>
      <c r="M481" t="str">
        <f t="shared" si="47"/>
        <v>CLEAN</v>
      </c>
      <c r="N481" t="str">
        <f t="shared" si="42"/>
        <v/>
      </c>
    </row>
    <row r="482" spans="1:14" x14ac:dyDescent="0.35">
      <c r="A482" t="s">
        <v>920</v>
      </c>
      <c r="B482" t="s">
        <v>85</v>
      </c>
      <c r="C482" t="s">
        <v>90</v>
      </c>
      <c r="D482">
        <v>82</v>
      </c>
      <c r="E482">
        <v>0</v>
      </c>
      <c r="F482">
        <v>0</v>
      </c>
      <c r="G482" s="1">
        <v>45303</v>
      </c>
      <c r="H482" t="s">
        <v>921</v>
      </c>
      <c r="I482" t="str">
        <f t="shared" si="43"/>
        <v>Check Price</v>
      </c>
      <c r="J482" t="str">
        <f t="shared" si="44"/>
        <v>Zero Sale</v>
      </c>
      <c r="K482" t="str">
        <f t="shared" si="45"/>
        <v>Unique</v>
      </c>
      <c r="L482" t="str">
        <f t="shared" si="46"/>
        <v>OK</v>
      </c>
      <c r="M482" t="str">
        <f t="shared" si="47"/>
        <v>EXCEPTION</v>
      </c>
      <c r="N482" t="str">
        <f t="shared" si="42"/>
        <v>Price Issue, Zero Sale</v>
      </c>
    </row>
    <row r="483" spans="1:14" x14ac:dyDescent="0.35">
      <c r="A483" t="s">
        <v>1047</v>
      </c>
      <c r="B483" t="s">
        <v>61</v>
      </c>
      <c r="C483" t="s">
        <v>23</v>
      </c>
      <c r="D483">
        <v>1</v>
      </c>
      <c r="E483">
        <v>157553.43</v>
      </c>
      <c r="F483">
        <v>157553.43</v>
      </c>
      <c r="G483" s="1">
        <v>45306</v>
      </c>
      <c r="H483" t="s">
        <v>922</v>
      </c>
      <c r="I483" t="str">
        <f t="shared" si="43"/>
        <v>OK</v>
      </c>
      <c r="J483" t="str">
        <f t="shared" si="44"/>
        <v>OK</v>
      </c>
      <c r="K483" t="str">
        <f t="shared" si="45"/>
        <v>Unique</v>
      </c>
      <c r="L483" t="str">
        <f t="shared" si="46"/>
        <v>OK</v>
      </c>
      <c r="M483" t="str">
        <f t="shared" si="47"/>
        <v>CLEAN</v>
      </c>
      <c r="N483" t="str">
        <f t="shared" si="42"/>
        <v/>
      </c>
    </row>
    <row r="484" spans="1:14" x14ac:dyDescent="0.35">
      <c r="A484" t="s">
        <v>923</v>
      </c>
      <c r="B484" t="s">
        <v>79</v>
      </c>
      <c r="C484" t="s">
        <v>17</v>
      </c>
      <c r="D484">
        <v>1</v>
      </c>
      <c r="E484">
        <v>72670.17</v>
      </c>
      <c r="F484">
        <v>72670.17</v>
      </c>
      <c r="G484" s="1">
        <v>45157</v>
      </c>
      <c r="H484" t="s">
        <v>924</v>
      </c>
      <c r="I484" t="str">
        <f t="shared" si="43"/>
        <v>OK</v>
      </c>
      <c r="J484" t="str">
        <f t="shared" si="44"/>
        <v>OK</v>
      </c>
      <c r="K484" t="str">
        <f t="shared" si="45"/>
        <v>Unique</v>
      </c>
      <c r="L484" t="str">
        <f t="shared" si="46"/>
        <v>OK</v>
      </c>
      <c r="M484" t="str">
        <f t="shared" si="47"/>
        <v>CLEAN</v>
      </c>
      <c r="N484" t="str">
        <f t="shared" si="42"/>
        <v/>
      </c>
    </row>
    <row r="485" spans="1:14" x14ac:dyDescent="0.35">
      <c r="A485" t="s">
        <v>925</v>
      </c>
      <c r="B485" t="s">
        <v>131</v>
      </c>
      <c r="C485" t="s">
        <v>90</v>
      </c>
      <c r="D485">
        <v>1</v>
      </c>
      <c r="E485">
        <v>186124.36</v>
      </c>
      <c r="F485">
        <v>186124.36</v>
      </c>
      <c r="G485" s="1">
        <v>45638</v>
      </c>
      <c r="H485" t="s">
        <v>926</v>
      </c>
      <c r="I485" t="str">
        <f t="shared" si="43"/>
        <v>OK</v>
      </c>
      <c r="J485" t="str">
        <f t="shared" si="44"/>
        <v>OK</v>
      </c>
      <c r="K485" t="str">
        <f t="shared" si="45"/>
        <v>Unique</v>
      </c>
      <c r="L485" t="str">
        <f t="shared" si="46"/>
        <v>OK</v>
      </c>
      <c r="M485" t="str">
        <f t="shared" si="47"/>
        <v>CLEAN</v>
      </c>
      <c r="N485" t="str">
        <f t="shared" si="42"/>
        <v/>
      </c>
    </row>
    <row r="486" spans="1:14" x14ac:dyDescent="0.35">
      <c r="A486" t="s">
        <v>927</v>
      </c>
      <c r="B486" t="s">
        <v>105</v>
      </c>
      <c r="C486" t="s">
        <v>55</v>
      </c>
      <c r="D486">
        <v>62</v>
      </c>
      <c r="E486">
        <v>76099.25</v>
      </c>
      <c r="F486">
        <v>4718153.5</v>
      </c>
      <c r="G486" s="1">
        <v>45821</v>
      </c>
      <c r="H486" t="s">
        <v>928</v>
      </c>
      <c r="I486" t="str">
        <f t="shared" si="43"/>
        <v>OK</v>
      </c>
      <c r="J486" t="str">
        <f t="shared" si="44"/>
        <v>OK</v>
      </c>
      <c r="K486" t="str">
        <f t="shared" si="45"/>
        <v>Unique</v>
      </c>
      <c r="L486" t="str">
        <f t="shared" si="46"/>
        <v>OK</v>
      </c>
      <c r="M486" t="str">
        <f t="shared" si="47"/>
        <v>CLEAN</v>
      </c>
      <c r="N486" t="str">
        <f t="shared" si="42"/>
        <v/>
      </c>
    </row>
    <row r="487" spans="1:14" x14ac:dyDescent="0.35">
      <c r="A487" t="s">
        <v>929</v>
      </c>
      <c r="B487" t="s">
        <v>34</v>
      </c>
      <c r="C487" t="s">
        <v>12</v>
      </c>
      <c r="D487">
        <v>1</v>
      </c>
      <c r="E487">
        <v>106655.11</v>
      </c>
      <c r="F487">
        <v>106655.11</v>
      </c>
      <c r="G487" s="1">
        <v>45530</v>
      </c>
      <c r="H487" t="s">
        <v>930</v>
      </c>
      <c r="I487" t="str">
        <f t="shared" si="43"/>
        <v>OK</v>
      </c>
      <c r="J487" t="str">
        <f t="shared" si="44"/>
        <v>OK</v>
      </c>
      <c r="K487" t="str">
        <f t="shared" si="45"/>
        <v>Unique</v>
      </c>
      <c r="L487" t="str">
        <f t="shared" si="46"/>
        <v>OK</v>
      </c>
      <c r="M487" t="str">
        <f t="shared" si="47"/>
        <v>CLEAN</v>
      </c>
      <c r="N487" t="str">
        <f t="shared" si="42"/>
        <v/>
      </c>
    </row>
    <row r="488" spans="1:14" x14ac:dyDescent="0.35">
      <c r="A488" t="s">
        <v>931</v>
      </c>
      <c r="B488" t="s">
        <v>11</v>
      </c>
      <c r="C488" t="s">
        <v>46</v>
      </c>
      <c r="D488">
        <v>1</v>
      </c>
      <c r="E488">
        <v>238583.43</v>
      </c>
      <c r="F488">
        <v>238583.43</v>
      </c>
      <c r="G488" s="1">
        <v>45293</v>
      </c>
      <c r="H488" t="s">
        <v>932</v>
      </c>
      <c r="I488" t="str">
        <f t="shared" si="43"/>
        <v>OK</v>
      </c>
      <c r="J488" t="str">
        <f t="shared" si="44"/>
        <v>OK</v>
      </c>
      <c r="K488" t="str">
        <f t="shared" si="45"/>
        <v>Unique</v>
      </c>
      <c r="L488" t="str">
        <f t="shared" si="46"/>
        <v>OK</v>
      </c>
      <c r="M488" t="str">
        <f t="shared" si="47"/>
        <v>CLEAN</v>
      </c>
      <c r="N488" t="str">
        <f t="shared" si="42"/>
        <v/>
      </c>
    </row>
    <row r="489" spans="1:14" x14ac:dyDescent="0.35">
      <c r="A489" t="s">
        <v>933</v>
      </c>
      <c r="B489" t="s">
        <v>131</v>
      </c>
      <c r="C489" t="s">
        <v>23</v>
      </c>
      <c r="D489">
        <v>1</v>
      </c>
      <c r="E489">
        <v>24166.26</v>
      </c>
      <c r="F489">
        <v>24166.26</v>
      </c>
      <c r="G489" s="1">
        <v>45613</v>
      </c>
      <c r="H489" s="2" t="s">
        <v>934</v>
      </c>
      <c r="I489" t="str">
        <f t="shared" si="43"/>
        <v>OK</v>
      </c>
      <c r="J489" t="str">
        <f t="shared" si="44"/>
        <v>OK</v>
      </c>
      <c r="K489" t="str">
        <f t="shared" si="45"/>
        <v>Unique</v>
      </c>
      <c r="L489" t="str">
        <f t="shared" si="46"/>
        <v>OK</v>
      </c>
      <c r="M489" t="str">
        <f t="shared" si="47"/>
        <v>CLEAN</v>
      </c>
      <c r="N489" t="str">
        <f t="shared" si="42"/>
        <v/>
      </c>
    </row>
    <row r="490" spans="1:14" x14ac:dyDescent="0.35">
      <c r="A490" t="s">
        <v>935</v>
      </c>
      <c r="B490" t="s">
        <v>131</v>
      </c>
      <c r="C490" t="s">
        <v>55</v>
      </c>
      <c r="D490">
        <v>8</v>
      </c>
      <c r="E490">
        <v>287809.69</v>
      </c>
      <c r="F490">
        <v>2302477.52</v>
      </c>
      <c r="G490" s="1">
        <v>45298</v>
      </c>
      <c r="H490" t="s">
        <v>936</v>
      </c>
      <c r="I490" t="str">
        <f t="shared" si="43"/>
        <v>OK</v>
      </c>
      <c r="J490" t="str">
        <f t="shared" si="44"/>
        <v>OK</v>
      </c>
      <c r="K490" t="str">
        <f t="shared" si="45"/>
        <v>Unique</v>
      </c>
      <c r="L490" t="str">
        <f t="shared" si="46"/>
        <v>OK</v>
      </c>
      <c r="M490" t="str">
        <f t="shared" si="47"/>
        <v>CLEAN</v>
      </c>
      <c r="N490" t="str">
        <f t="shared" si="42"/>
        <v/>
      </c>
    </row>
    <row r="491" spans="1:14" x14ac:dyDescent="0.35">
      <c r="A491" t="s">
        <v>937</v>
      </c>
      <c r="B491" t="s">
        <v>53</v>
      </c>
      <c r="C491" t="s">
        <v>70</v>
      </c>
      <c r="D491">
        <v>1</v>
      </c>
      <c r="E491">
        <v>137969.82</v>
      </c>
      <c r="F491">
        <v>137969.82</v>
      </c>
      <c r="G491" s="1">
        <v>45158</v>
      </c>
      <c r="H491" t="s">
        <v>938</v>
      </c>
      <c r="I491" t="str">
        <f t="shared" si="43"/>
        <v>OK</v>
      </c>
      <c r="J491" t="str">
        <f t="shared" si="44"/>
        <v>OK</v>
      </c>
      <c r="K491" t="str">
        <f t="shared" si="45"/>
        <v>Unique</v>
      </c>
      <c r="L491" t="str">
        <f t="shared" si="46"/>
        <v>OK</v>
      </c>
      <c r="M491" t="str">
        <f t="shared" si="47"/>
        <v>CLEAN</v>
      </c>
      <c r="N491" t="str">
        <f t="shared" si="42"/>
        <v/>
      </c>
    </row>
    <row r="492" spans="1:14" x14ac:dyDescent="0.35">
      <c r="A492" t="s">
        <v>939</v>
      </c>
      <c r="B492" t="s">
        <v>42</v>
      </c>
      <c r="C492" t="s">
        <v>12</v>
      </c>
      <c r="D492">
        <v>1</v>
      </c>
      <c r="E492">
        <v>0</v>
      </c>
      <c r="F492">
        <v>0</v>
      </c>
      <c r="G492" s="1">
        <v>45195</v>
      </c>
      <c r="H492" t="s">
        <v>1134</v>
      </c>
      <c r="I492" t="str">
        <f t="shared" si="43"/>
        <v>Check Price</v>
      </c>
      <c r="J492" t="str">
        <f t="shared" si="44"/>
        <v>Zero Sale</v>
      </c>
      <c r="K492" t="str">
        <f t="shared" si="45"/>
        <v>Unique</v>
      </c>
      <c r="L492" t="str">
        <f t="shared" si="46"/>
        <v>OK</v>
      </c>
      <c r="M492" t="str">
        <f t="shared" si="47"/>
        <v>EXCEPTION</v>
      </c>
      <c r="N492" t="str">
        <f t="shared" si="42"/>
        <v>Price Issue, Zero Sale</v>
      </c>
    </row>
    <row r="493" spans="1:14" x14ac:dyDescent="0.35">
      <c r="A493" t="s">
        <v>940</v>
      </c>
      <c r="B493" t="s">
        <v>79</v>
      </c>
      <c r="C493" t="s">
        <v>27</v>
      </c>
      <c r="D493">
        <v>1</v>
      </c>
      <c r="E493">
        <v>73340.759999999995</v>
      </c>
      <c r="F493">
        <v>73340.759999999995</v>
      </c>
      <c r="G493" s="1">
        <v>45439</v>
      </c>
      <c r="H493" t="s">
        <v>941</v>
      </c>
      <c r="I493" t="str">
        <f t="shared" si="43"/>
        <v>OK</v>
      </c>
      <c r="J493" t="str">
        <f t="shared" si="44"/>
        <v>OK</v>
      </c>
      <c r="K493" t="str">
        <f t="shared" si="45"/>
        <v>Unique</v>
      </c>
      <c r="L493" t="str">
        <f t="shared" si="46"/>
        <v>OK</v>
      </c>
      <c r="M493" t="str">
        <f t="shared" si="47"/>
        <v>CLEAN</v>
      </c>
      <c r="N493" t="str">
        <f t="shared" si="42"/>
        <v/>
      </c>
    </row>
    <row r="494" spans="1:14" x14ac:dyDescent="0.35">
      <c r="A494" t="s">
        <v>942</v>
      </c>
      <c r="B494" t="s">
        <v>61</v>
      </c>
      <c r="C494" t="s">
        <v>12</v>
      </c>
      <c r="D494">
        <v>78</v>
      </c>
      <c r="E494">
        <v>209322.28</v>
      </c>
      <c r="F494">
        <v>16327137.84</v>
      </c>
      <c r="G494" s="1">
        <v>45374</v>
      </c>
      <c r="H494" t="s">
        <v>943</v>
      </c>
      <c r="I494" t="str">
        <f t="shared" si="43"/>
        <v>OK</v>
      </c>
      <c r="J494" t="str">
        <f t="shared" si="44"/>
        <v>OK</v>
      </c>
      <c r="K494" t="str">
        <f t="shared" si="45"/>
        <v>Unique</v>
      </c>
      <c r="L494" t="str">
        <f t="shared" si="46"/>
        <v>OK</v>
      </c>
      <c r="M494" t="str">
        <f t="shared" si="47"/>
        <v>CLEAN</v>
      </c>
      <c r="N494" t="str">
        <f t="shared" si="42"/>
        <v/>
      </c>
    </row>
    <row r="495" spans="1:14" x14ac:dyDescent="0.35">
      <c r="A495" t="s">
        <v>944</v>
      </c>
      <c r="B495" t="s">
        <v>89</v>
      </c>
      <c r="C495" t="s">
        <v>55</v>
      </c>
      <c r="D495">
        <v>1</v>
      </c>
      <c r="E495">
        <v>90342.399999999994</v>
      </c>
      <c r="F495">
        <v>90342.399999999994</v>
      </c>
      <c r="G495" s="1">
        <v>45675</v>
      </c>
      <c r="H495" t="s">
        <v>945</v>
      </c>
      <c r="I495" t="str">
        <f t="shared" si="43"/>
        <v>OK</v>
      </c>
      <c r="J495" t="str">
        <f t="shared" si="44"/>
        <v>OK</v>
      </c>
      <c r="K495" t="str">
        <f t="shared" si="45"/>
        <v>Unique</v>
      </c>
      <c r="L495" t="str">
        <f t="shared" si="46"/>
        <v>OK</v>
      </c>
      <c r="M495" t="str">
        <f t="shared" si="47"/>
        <v>CLEAN</v>
      </c>
      <c r="N495" t="str">
        <f t="shared" si="42"/>
        <v/>
      </c>
    </row>
    <row r="496" spans="1:14" x14ac:dyDescent="0.35">
      <c r="A496" t="s">
        <v>1047</v>
      </c>
      <c r="B496" t="s">
        <v>76</v>
      </c>
      <c r="C496" t="s">
        <v>23</v>
      </c>
      <c r="D496">
        <v>1</v>
      </c>
      <c r="E496">
        <v>248504.59</v>
      </c>
      <c r="F496">
        <v>248504.59</v>
      </c>
      <c r="G496" s="1">
        <v>45484</v>
      </c>
      <c r="H496" t="s">
        <v>946</v>
      </c>
      <c r="I496" t="str">
        <f t="shared" si="43"/>
        <v>OK</v>
      </c>
      <c r="J496" t="str">
        <f t="shared" si="44"/>
        <v>OK</v>
      </c>
      <c r="K496" t="str">
        <f t="shared" si="45"/>
        <v>Unique</v>
      </c>
      <c r="L496" t="str">
        <f t="shared" si="46"/>
        <v>OK</v>
      </c>
      <c r="M496" t="str">
        <f t="shared" si="47"/>
        <v>CLEAN</v>
      </c>
      <c r="N496" t="str">
        <f t="shared" si="42"/>
        <v/>
      </c>
    </row>
    <row r="497" spans="1:14" x14ac:dyDescent="0.35">
      <c r="A497" t="s">
        <v>947</v>
      </c>
      <c r="B497" t="s">
        <v>76</v>
      </c>
      <c r="C497" t="s">
        <v>12</v>
      </c>
      <c r="D497">
        <v>1</v>
      </c>
      <c r="E497">
        <v>24644.77</v>
      </c>
      <c r="F497">
        <v>24644.77</v>
      </c>
      <c r="G497" s="1">
        <v>45196</v>
      </c>
      <c r="H497" t="s">
        <v>948</v>
      </c>
      <c r="I497" t="str">
        <f t="shared" si="43"/>
        <v>OK</v>
      </c>
      <c r="J497" t="str">
        <f t="shared" si="44"/>
        <v>OK</v>
      </c>
      <c r="K497" t="str">
        <f t="shared" si="45"/>
        <v>Unique</v>
      </c>
      <c r="L497" t="str">
        <f t="shared" si="46"/>
        <v>OK</v>
      </c>
      <c r="M497" t="str">
        <f t="shared" si="47"/>
        <v>CLEAN</v>
      </c>
      <c r="N497" t="str">
        <f t="shared" si="42"/>
        <v/>
      </c>
    </row>
    <row r="498" spans="1:14" x14ac:dyDescent="0.35">
      <c r="A498" t="s">
        <v>949</v>
      </c>
      <c r="B498" t="s">
        <v>76</v>
      </c>
      <c r="C498" t="s">
        <v>23</v>
      </c>
      <c r="D498">
        <v>1</v>
      </c>
      <c r="E498">
        <v>297506.57</v>
      </c>
      <c r="F498">
        <v>297506.57</v>
      </c>
      <c r="G498" s="1">
        <v>45647</v>
      </c>
      <c r="H498" t="s">
        <v>950</v>
      </c>
      <c r="I498" t="str">
        <f t="shared" si="43"/>
        <v>OK</v>
      </c>
      <c r="J498" t="str">
        <f t="shared" si="44"/>
        <v>OK</v>
      </c>
      <c r="K498" t="str">
        <f t="shared" si="45"/>
        <v>Unique</v>
      </c>
      <c r="L498" t="str">
        <f t="shared" si="46"/>
        <v>OK</v>
      </c>
      <c r="M498" t="str">
        <f t="shared" si="47"/>
        <v>CLEAN</v>
      </c>
      <c r="N498" t="str">
        <f t="shared" si="42"/>
        <v/>
      </c>
    </row>
    <row r="499" spans="1:14" x14ac:dyDescent="0.35">
      <c r="A499" t="s">
        <v>951</v>
      </c>
      <c r="B499" t="s">
        <v>53</v>
      </c>
      <c r="C499" t="s">
        <v>17</v>
      </c>
      <c r="D499">
        <v>1</v>
      </c>
      <c r="E499">
        <v>195143.39</v>
      </c>
      <c r="F499">
        <v>195143.39</v>
      </c>
      <c r="G499" s="1">
        <v>45716</v>
      </c>
      <c r="H499" t="s">
        <v>952</v>
      </c>
      <c r="I499" t="str">
        <f t="shared" si="43"/>
        <v>OK</v>
      </c>
      <c r="J499" t="str">
        <f t="shared" si="44"/>
        <v>OK</v>
      </c>
      <c r="K499" t="str">
        <f t="shared" si="45"/>
        <v>Unique</v>
      </c>
      <c r="L499" t="str">
        <f t="shared" si="46"/>
        <v>OK</v>
      </c>
      <c r="M499" t="str">
        <f t="shared" si="47"/>
        <v>CLEAN</v>
      </c>
      <c r="N499" t="str">
        <f t="shared" si="42"/>
        <v/>
      </c>
    </row>
    <row r="500" spans="1:14" x14ac:dyDescent="0.35">
      <c r="A500" t="s">
        <v>953</v>
      </c>
      <c r="B500" t="s">
        <v>58</v>
      </c>
      <c r="C500" t="s">
        <v>23</v>
      </c>
      <c r="D500">
        <v>1</v>
      </c>
      <c r="E500">
        <v>9989.51</v>
      </c>
      <c r="F500">
        <v>9989.51</v>
      </c>
      <c r="G500" s="1">
        <v>45224</v>
      </c>
      <c r="H500" t="s">
        <v>954</v>
      </c>
      <c r="I500" t="str">
        <f t="shared" si="43"/>
        <v>OK</v>
      </c>
      <c r="J500" t="str">
        <f t="shared" si="44"/>
        <v>OK</v>
      </c>
      <c r="K500" t="str">
        <f t="shared" si="45"/>
        <v>Unique</v>
      </c>
      <c r="L500" t="str">
        <f t="shared" si="46"/>
        <v>OK</v>
      </c>
      <c r="M500" t="str">
        <f t="shared" si="47"/>
        <v>CLEAN</v>
      </c>
      <c r="N500" t="str">
        <f t="shared" si="42"/>
        <v/>
      </c>
    </row>
    <row r="501" spans="1:14" x14ac:dyDescent="0.35">
      <c r="A501" t="s">
        <v>955</v>
      </c>
      <c r="B501" t="s">
        <v>213</v>
      </c>
      <c r="C501" t="s">
        <v>55</v>
      </c>
      <c r="D501">
        <v>1</v>
      </c>
      <c r="E501">
        <v>121880.85</v>
      </c>
      <c r="F501">
        <v>121880.85</v>
      </c>
      <c r="G501" s="1">
        <v>45122</v>
      </c>
      <c r="H501" t="s">
        <v>956</v>
      </c>
      <c r="I501" t="str">
        <f t="shared" si="43"/>
        <v>OK</v>
      </c>
      <c r="J501" t="str">
        <f t="shared" si="44"/>
        <v>OK</v>
      </c>
      <c r="K501" t="str">
        <f t="shared" si="45"/>
        <v>Unique</v>
      </c>
      <c r="L501" t="str">
        <f t="shared" si="46"/>
        <v>OK</v>
      </c>
      <c r="M501" t="str">
        <f t="shared" si="47"/>
        <v>CLEAN</v>
      </c>
      <c r="N501" t="str">
        <f t="shared" si="42"/>
        <v/>
      </c>
    </row>
    <row r="502" spans="1:14" x14ac:dyDescent="0.35">
      <c r="A502" t="s">
        <v>957</v>
      </c>
      <c r="B502" t="s">
        <v>85</v>
      </c>
      <c r="C502" t="s">
        <v>46</v>
      </c>
      <c r="D502">
        <v>1</v>
      </c>
      <c r="E502">
        <v>0</v>
      </c>
      <c r="F502">
        <v>0</v>
      </c>
      <c r="G502" s="1">
        <v>45545</v>
      </c>
      <c r="H502" t="s">
        <v>958</v>
      </c>
      <c r="I502" t="str">
        <f t="shared" si="43"/>
        <v>Check Price</v>
      </c>
      <c r="J502" t="str">
        <f t="shared" si="44"/>
        <v>Zero Sale</v>
      </c>
      <c r="K502" t="str">
        <f t="shared" si="45"/>
        <v>Unique</v>
      </c>
      <c r="L502" t="str">
        <f t="shared" si="46"/>
        <v>OK</v>
      </c>
      <c r="M502" t="str">
        <f t="shared" si="47"/>
        <v>EXCEPTION</v>
      </c>
      <c r="N502" t="str">
        <f t="shared" si="42"/>
        <v>Price Issue, Zero Sale</v>
      </c>
    </row>
    <row r="503" spans="1:14" x14ac:dyDescent="0.35">
      <c r="A503" t="s">
        <v>959</v>
      </c>
      <c r="B503" t="s">
        <v>37</v>
      </c>
      <c r="C503" t="s">
        <v>17</v>
      </c>
      <c r="D503">
        <v>58</v>
      </c>
      <c r="E503">
        <v>113462.29</v>
      </c>
      <c r="F503">
        <v>6580812.8199999994</v>
      </c>
      <c r="G503" s="1">
        <v>45839</v>
      </c>
      <c r="H503" t="s">
        <v>960</v>
      </c>
      <c r="I503" t="str">
        <f t="shared" si="43"/>
        <v>OK</v>
      </c>
      <c r="J503" t="str">
        <f t="shared" si="44"/>
        <v>OK</v>
      </c>
      <c r="K503" t="str">
        <f t="shared" si="45"/>
        <v>Unique</v>
      </c>
      <c r="L503" t="str">
        <f t="shared" si="46"/>
        <v>OK</v>
      </c>
      <c r="M503" t="str">
        <f t="shared" si="47"/>
        <v>CLEAN</v>
      </c>
      <c r="N503" t="str">
        <f t="shared" si="42"/>
        <v/>
      </c>
    </row>
    <row r="504" spans="1:14" x14ac:dyDescent="0.35">
      <c r="A504" t="s">
        <v>961</v>
      </c>
      <c r="B504" t="s">
        <v>131</v>
      </c>
      <c r="C504" t="s">
        <v>46</v>
      </c>
      <c r="D504">
        <v>19</v>
      </c>
      <c r="E504">
        <v>143063.53</v>
      </c>
      <c r="F504">
        <v>2718207.07</v>
      </c>
      <c r="G504" s="1">
        <v>45240</v>
      </c>
      <c r="H504" t="s">
        <v>962</v>
      </c>
      <c r="I504" t="str">
        <f t="shared" si="43"/>
        <v>OK</v>
      </c>
      <c r="J504" t="str">
        <f t="shared" si="44"/>
        <v>OK</v>
      </c>
      <c r="K504" t="str">
        <f t="shared" si="45"/>
        <v>Unique</v>
      </c>
      <c r="L504" t="str">
        <f t="shared" si="46"/>
        <v>OK</v>
      </c>
      <c r="M504" t="str">
        <f t="shared" si="47"/>
        <v>CLEAN</v>
      </c>
      <c r="N504" t="str">
        <f t="shared" si="42"/>
        <v/>
      </c>
    </row>
    <row r="505" spans="1:14" x14ac:dyDescent="0.35">
      <c r="A505" t="s">
        <v>963</v>
      </c>
      <c r="B505" t="s">
        <v>58</v>
      </c>
      <c r="C505" t="s">
        <v>12</v>
      </c>
      <c r="D505">
        <v>1</v>
      </c>
      <c r="E505">
        <v>191206.05</v>
      </c>
      <c r="F505">
        <v>191206.05</v>
      </c>
      <c r="G505" s="1">
        <v>45434</v>
      </c>
      <c r="H505" t="s">
        <v>964</v>
      </c>
      <c r="I505" t="str">
        <f t="shared" si="43"/>
        <v>OK</v>
      </c>
      <c r="J505" t="str">
        <f t="shared" si="44"/>
        <v>OK</v>
      </c>
      <c r="K505" t="str">
        <f t="shared" si="45"/>
        <v>Unique</v>
      </c>
      <c r="L505" t="str">
        <f t="shared" si="46"/>
        <v>OK</v>
      </c>
      <c r="M505" t="str">
        <f t="shared" si="47"/>
        <v>CLEAN</v>
      </c>
      <c r="N505" t="str">
        <f t="shared" si="42"/>
        <v/>
      </c>
    </row>
    <row r="506" spans="1:14" x14ac:dyDescent="0.35">
      <c r="A506" t="s">
        <v>965</v>
      </c>
      <c r="B506" t="s">
        <v>61</v>
      </c>
      <c r="C506" t="s">
        <v>27</v>
      </c>
      <c r="D506">
        <v>1</v>
      </c>
      <c r="E506">
        <v>211002.12</v>
      </c>
      <c r="F506">
        <v>211002.12</v>
      </c>
      <c r="G506" s="1">
        <v>45625</v>
      </c>
      <c r="H506" t="s">
        <v>1135</v>
      </c>
      <c r="I506" t="str">
        <f t="shared" si="43"/>
        <v>OK</v>
      </c>
      <c r="J506" t="str">
        <f t="shared" si="44"/>
        <v>OK</v>
      </c>
      <c r="K506" t="str">
        <f t="shared" si="45"/>
        <v>Unique</v>
      </c>
      <c r="L506" t="str">
        <f t="shared" si="46"/>
        <v>OK</v>
      </c>
      <c r="M506" t="str">
        <f t="shared" si="47"/>
        <v>CLEAN</v>
      </c>
      <c r="N506" t="str">
        <f t="shared" si="42"/>
        <v/>
      </c>
    </row>
    <row r="507" spans="1:14" x14ac:dyDescent="0.35">
      <c r="A507" t="s">
        <v>966</v>
      </c>
      <c r="B507" t="s">
        <v>89</v>
      </c>
      <c r="C507" t="s">
        <v>70</v>
      </c>
      <c r="D507">
        <v>54</v>
      </c>
      <c r="E507">
        <v>25264.49</v>
      </c>
      <c r="F507">
        <v>1364282.4600000002</v>
      </c>
      <c r="G507" s="1">
        <v>45844</v>
      </c>
      <c r="H507" t="s">
        <v>967</v>
      </c>
      <c r="I507" t="str">
        <f t="shared" si="43"/>
        <v>OK</v>
      </c>
      <c r="J507" t="str">
        <f t="shared" si="44"/>
        <v>OK</v>
      </c>
      <c r="K507" t="str">
        <f t="shared" si="45"/>
        <v>Unique</v>
      </c>
      <c r="L507" t="str">
        <f t="shared" si="46"/>
        <v>OK</v>
      </c>
      <c r="M507" t="str">
        <f t="shared" si="47"/>
        <v>CLEAN</v>
      </c>
      <c r="N507" t="str">
        <f t="shared" si="42"/>
        <v/>
      </c>
    </row>
    <row r="508" spans="1:14" x14ac:dyDescent="0.35">
      <c r="A508" t="s">
        <v>968</v>
      </c>
      <c r="B508" t="s">
        <v>37</v>
      </c>
      <c r="C508" t="s">
        <v>55</v>
      </c>
      <c r="D508">
        <v>1</v>
      </c>
      <c r="E508">
        <v>253676.27</v>
      </c>
      <c r="F508">
        <v>253676.27</v>
      </c>
      <c r="G508" s="1">
        <v>45802</v>
      </c>
      <c r="H508" t="s">
        <v>969</v>
      </c>
      <c r="I508" t="str">
        <f t="shared" si="43"/>
        <v>OK</v>
      </c>
      <c r="J508" t="str">
        <f t="shared" si="44"/>
        <v>OK</v>
      </c>
      <c r="K508" t="str">
        <f t="shared" si="45"/>
        <v>Unique</v>
      </c>
      <c r="L508" t="str">
        <f t="shared" si="46"/>
        <v>OK</v>
      </c>
      <c r="M508" t="str">
        <f t="shared" si="47"/>
        <v>CLEAN</v>
      </c>
      <c r="N508" t="str">
        <f t="shared" si="42"/>
        <v/>
      </c>
    </row>
    <row r="509" spans="1:14" x14ac:dyDescent="0.35">
      <c r="A509" t="s">
        <v>1047</v>
      </c>
      <c r="B509" t="s">
        <v>20</v>
      </c>
      <c r="C509" t="s">
        <v>46</v>
      </c>
      <c r="D509">
        <v>1</v>
      </c>
      <c r="E509">
        <v>193649.72</v>
      </c>
      <c r="F509">
        <v>193649.72</v>
      </c>
      <c r="G509" s="1">
        <v>45800</v>
      </c>
      <c r="H509" t="s">
        <v>970</v>
      </c>
      <c r="I509" t="str">
        <f t="shared" si="43"/>
        <v>OK</v>
      </c>
      <c r="J509" t="str">
        <f t="shared" si="44"/>
        <v>OK</v>
      </c>
      <c r="K509" t="str">
        <f t="shared" si="45"/>
        <v>Unique</v>
      </c>
      <c r="L509" t="str">
        <f t="shared" si="46"/>
        <v>OK</v>
      </c>
      <c r="M509" t="str">
        <f t="shared" si="47"/>
        <v>CLEAN</v>
      </c>
      <c r="N509" t="str">
        <f t="shared" si="42"/>
        <v/>
      </c>
    </row>
    <row r="510" spans="1:14" x14ac:dyDescent="0.35">
      <c r="A510" t="s">
        <v>971</v>
      </c>
      <c r="B510" t="s">
        <v>131</v>
      </c>
      <c r="C510" t="s">
        <v>70</v>
      </c>
      <c r="D510">
        <v>41</v>
      </c>
      <c r="E510">
        <v>99715.55</v>
      </c>
      <c r="F510">
        <v>4088337.5500000003</v>
      </c>
      <c r="G510" s="1">
        <v>45487</v>
      </c>
      <c r="H510" t="s">
        <v>972</v>
      </c>
      <c r="I510" t="str">
        <f t="shared" si="43"/>
        <v>OK</v>
      </c>
      <c r="J510" t="str">
        <f t="shared" si="44"/>
        <v>OK</v>
      </c>
      <c r="K510" t="str">
        <f t="shared" si="45"/>
        <v>Unique</v>
      </c>
      <c r="L510" t="str">
        <f t="shared" si="46"/>
        <v>OK</v>
      </c>
      <c r="M510" t="str">
        <f t="shared" si="47"/>
        <v>CLEAN</v>
      </c>
      <c r="N510" t="str">
        <f t="shared" si="42"/>
        <v/>
      </c>
    </row>
    <row r="511" spans="1:14" x14ac:dyDescent="0.35">
      <c r="A511" t="s">
        <v>973</v>
      </c>
      <c r="B511" t="s">
        <v>20</v>
      </c>
      <c r="C511" t="s">
        <v>90</v>
      </c>
      <c r="D511">
        <v>98</v>
      </c>
      <c r="E511">
        <v>293210.09999999998</v>
      </c>
      <c r="F511">
        <v>28734589.799999997</v>
      </c>
      <c r="G511" s="1">
        <v>45488</v>
      </c>
      <c r="H511" t="s">
        <v>974</v>
      </c>
      <c r="I511" t="str">
        <f t="shared" si="43"/>
        <v>OK</v>
      </c>
      <c r="J511" t="str">
        <f t="shared" si="44"/>
        <v>OK</v>
      </c>
      <c r="K511" t="str">
        <f t="shared" si="45"/>
        <v>Unique</v>
      </c>
      <c r="L511" t="str">
        <f t="shared" si="46"/>
        <v>OK</v>
      </c>
      <c r="M511" t="str">
        <f t="shared" si="47"/>
        <v>CLEAN</v>
      </c>
      <c r="N511" t="str">
        <f t="shared" si="42"/>
        <v/>
      </c>
    </row>
    <row r="512" spans="1:14" x14ac:dyDescent="0.35">
      <c r="A512" t="s">
        <v>975</v>
      </c>
      <c r="B512" t="s">
        <v>53</v>
      </c>
      <c r="C512" t="s">
        <v>23</v>
      </c>
      <c r="D512">
        <v>1</v>
      </c>
      <c r="E512">
        <v>0</v>
      </c>
      <c r="F512">
        <v>0</v>
      </c>
      <c r="G512" s="1">
        <v>45623</v>
      </c>
      <c r="H512" t="s">
        <v>976</v>
      </c>
      <c r="I512" t="str">
        <f t="shared" si="43"/>
        <v>Check Price</v>
      </c>
      <c r="J512" t="str">
        <f t="shared" si="44"/>
        <v>Zero Sale</v>
      </c>
      <c r="K512" t="str">
        <f t="shared" si="45"/>
        <v>Unique</v>
      </c>
      <c r="L512" t="str">
        <f t="shared" si="46"/>
        <v>OK</v>
      </c>
      <c r="M512" t="str">
        <f t="shared" si="47"/>
        <v>EXCEPTION</v>
      </c>
      <c r="N512" t="str">
        <f t="shared" si="42"/>
        <v>Price Issue, Zero Sale</v>
      </c>
    </row>
    <row r="513" spans="1:14" x14ac:dyDescent="0.35">
      <c r="A513" t="s">
        <v>977</v>
      </c>
      <c r="B513" t="s">
        <v>26</v>
      </c>
      <c r="C513" t="s">
        <v>46</v>
      </c>
      <c r="D513">
        <v>1</v>
      </c>
      <c r="E513">
        <v>292165</v>
      </c>
      <c r="F513">
        <v>292165</v>
      </c>
      <c r="G513" s="1">
        <v>45272</v>
      </c>
      <c r="H513" t="s">
        <v>978</v>
      </c>
      <c r="I513" t="str">
        <f t="shared" si="43"/>
        <v>OK</v>
      </c>
      <c r="J513" t="str">
        <f t="shared" si="44"/>
        <v>OK</v>
      </c>
      <c r="K513" t="str">
        <f t="shared" si="45"/>
        <v>Unique</v>
      </c>
      <c r="L513" t="str">
        <f t="shared" si="46"/>
        <v>OK</v>
      </c>
      <c r="M513" t="str">
        <f t="shared" si="47"/>
        <v>CLEAN</v>
      </c>
      <c r="N513" t="str">
        <f t="shared" si="42"/>
        <v/>
      </c>
    </row>
    <row r="514" spans="1:14" x14ac:dyDescent="0.35">
      <c r="A514" t="s">
        <v>979</v>
      </c>
      <c r="B514" t="s">
        <v>11</v>
      </c>
      <c r="C514" t="s">
        <v>17</v>
      </c>
      <c r="D514">
        <v>1</v>
      </c>
      <c r="E514">
        <v>268489.96999999997</v>
      </c>
      <c r="F514">
        <v>268489.96999999997</v>
      </c>
      <c r="G514" s="1">
        <v>45705</v>
      </c>
      <c r="H514" t="s">
        <v>980</v>
      </c>
      <c r="I514" t="str">
        <f t="shared" si="43"/>
        <v>OK</v>
      </c>
      <c r="J514" t="str">
        <f t="shared" si="44"/>
        <v>OK</v>
      </c>
      <c r="K514" t="str">
        <f t="shared" si="45"/>
        <v>Unique</v>
      </c>
      <c r="L514" t="str">
        <f t="shared" si="46"/>
        <v>OK</v>
      </c>
      <c r="M514" t="str">
        <f t="shared" si="47"/>
        <v>CLEAN</v>
      </c>
      <c r="N514" t="str">
        <f t="shared" ref="N514:N551" si="48">_xlfn.TEXTJOIN(", ",TRUE,
IF(I514&lt;&gt;"OK","Price Issue",""),
IF(J514&lt;&gt;"OK","Zero Sale",""),
IF(K514&lt;&gt;"Unique","Duplicate Order",""),
IF(L514&lt;&gt;"OK","Missing Date","")
)</f>
        <v/>
      </c>
    </row>
    <row r="515" spans="1:14" x14ac:dyDescent="0.35">
      <c r="A515" t="s">
        <v>981</v>
      </c>
      <c r="B515" t="s">
        <v>45</v>
      </c>
      <c r="C515" t="s">
        <v>55</v>
      </c>
      <c r="D515">
        <v>3</v>
      </c>
      <c r="E515">
        <v>275786.09000000003</v>
      </c>
      <c r="F515">
        <v>827358.27</v>
      </c>
      <c r="G515" s="1">
        <v>45341</v>
      </c>
      <c r="H515" t="s">
        <v>982</v>
      </c>
      <c r="I515" t="str">
        <f t="shared" ref="I515:I551" si="49">IF(E515=0,"Check Price","OK")</f>
        <v>OK</v>
      </c>
      <c r="J515" t="str">
        <f t="shared" ref="J515:J551" si="50">IF(F515=0,"Zero Sale","OK")</f>
        <v>OK</v>
      </c>
      <c r="K515" t="str">
        <f t="shared" ref="K515:K551" si="51">IF(COUNTIF($H:$H,H515)&gt;1,"Duplicate","Unique")</f>
        <v>Unique</v>
      </c>
      <c r="L515" t="str">
        <f t="shared" ref="L515:L551" si="52">IF(G515="","Missing Date","OK")</f>
        <v>OK</v>
      </c>
      <c r="M515" t="str">
        <f t="shared" ref="M515:M551" si="53">IF(COUNTIF(I515:J515,"&lt;&gt;OK")&gt;0,"EXCEPTION","CLEAN")</f>
        <v>CLEAN</v>
      </c>
      <c r="N515" t="str">
        <f t="shared" si="48"/>
        <v/>
      </c>
    </row>
    <row r="516" spans="1:14" x14ac:dyDescent="0.35">
      <c r="A516" t="s">
        <v>983</v>
      </c>
      <c r="B516" t="s">
        <v>20</v>
      </c>
      <c r="C516" t="s">
        <v>23</v>
      </c>
      <c r="D516">
        <v>1</v>
      </c>
      <c r="E516">
        <v>69315.070000000007</v>
      </c>
      <c r="F516">
        <v>69315.070000000007</v>
      </c>
      <c r="G516" s="1">
        <v>45367</v>
      </c>
      <c r="H516" t="s">
        <v>984</v>
      </c>
      <c r="I516" t="str">
        <f t="shared" si="49"/>
        <v>OK</v>
      </c>
      <c r="J516" t="str">
        <f t="shared" si="50"/>
        <v>OK</v>
      </c>
      <c r="K516" t="str">
        <f t="shared" si="51"/>
        <v>Unique</v>
      </c>
      <c r="L516" t="str">
        <f t="shared" si="52"/>
        <v>OK</v>
      </c>
      <c r="M516" t="str">
        <f t="shared" si="53"/>
        <v>CLEAN</v>
      </c>
      <c r="N516" t="str">
        <f t="shared" si="48"/>
        <v/>
      </c>
    </row>
    <row r="517" spans="1:14" x14ac:dyDescent="0.35">
      <c r="A517" t="s">
        <v>985</v>
      </c>
      <c r="B517" t="s">
        <v>213</v>
      </c>
      <c r="C517" t="s">
        <v>70</v>
      </c>
      <c r="D517">
        <v>59</v>
      </c>
      <c r="E517">
        <v>270431.25</v>
      </c>
      <c r="F517">
        <v>15955443.75</v>
      </c>
      <c r="G517" s="1">
        <v>45339</v>
      </c>
      <c r="H517" t="s">
        <v>986</v>
      </c>
      <c r="I517" t="str">
        <f t="shared" si="49"/>
        <v>OK</v>
      </c>
      <c r="J517" t="str">
        <f t="shared" si="50"/>
        <v>OK</v>
      </c>
      <c r="K517" t="str">
        <f t="shared" si="51"/>
        <v>Unique</v>
      </c>
      <c r="L517" t="str">
        <f t="shared" si="52"/>
        <v>OK</v>
      </c>
      <c r="M517" t="str">
        <f t="shared" si="53"/>
        <v>CLEAN</v>
      </c>
      <c r="N517" t="str">
        <f t="shared" si="48"/>
        <v/>
      </c>
    </row>
    <row r="518" spans="1:14" x14ac:dyDescent="0.35">
      <c r="A518" t="s">
        <v>987</v>
      </c>
      <c r="B518" t="s">
        <v>61</v>
      </c>
      <c r="C518" t="s">
        <v>55</v>
      </c>
      <c r="D518">
        <v>1</v>
      </c>
      <c r="E518">
        <v>207840.17</v>
      </c>
      <c r="F518">
        <v>207840.17</v>
      </c>
      <c r="G518" s="1">
        <v>45619</v>
      </c>
      <c r="H518" t="s">
        <v>988</v>
      </c>
      <c r="I518" t="str">
        <f t="shared" si="49"/>
        <v>OK</v>
      </c>
      <c r="J518" t="str">
        <f t="shared" si="50"/>
        <v>OK</v>
      </c>
      <c r="K518" t="str">
        <f t="shared" si="51"/>
        <v>Unique</v>
      </c>
      <c r="L518" t="str">
        <f t="shared" si="52"/>
        <v>OK</v>
      </c>
      <c r="M518" t="str">
        <f t="shared" si="53"/>
        <v>CLEAN</v>
      </c>
      <c r="N518" t="str">
        <f t="shared" si="48"/>
        <v/>
      </c>
    </row>
    <row r="519" spans="1:14" x14ac:dyDescent="0.35">
      <c r="A519" t="s">
        <v>989</v>
      </c>
      <c r="B519" t="s">
        <v>37</v>
      </c>
      <c r="C519" t="s">
        <v>46</v>
      </c>
      <c r="D519">
        <v>46</v>
      </c>
      <c r="E519">
        <v>170251.85</v>
      </c>
      <c r="F519">
        <v>7831585.1000000006</v>
      </c>
      <c r="G519" s="1">
        <v>45163</v>
      </c>
      <c r="H519" t="s">
        <v>990</v>
      </c>
      <c r="I519" t="str">
        <f t="shared" si="49"/>
        <v>OK</v>
      </c>
      <c r="J519" t="str">
        <f t="shared" si="50"/>
        <v>OK</v>
      </c>
      <c r="K519" t="str">
        <f t="shared" si="51"/>
        <v>Unique</v>
      </c>
      <c r="L519" t="str">
        <f t="shared" si="52"/>
        <v>OK</v>
      </c>
      <c r="M519" t="str">
        <f t="shared" si="53"/>
        <v>CLEAN</v>
      </c>
      <c r="N519" t="str">
        <f t="shared" si="48"/>
        <v/>
      </c>
    </row>
    <row r="520" spans="1:14" x14ac:dyDescent="0.35">
      <c r="A520" t="s">
        <v>991</v>
      </c>
      <c r="B520" t="s">
        <v>76</v>
      </c>
      <c r="C520" t="s">
        <v>27</v>
      </c>
      <c r="D520">
        <v>1</v>
      </c>
      <c r="E520">
        <v>81692.97</v>
      </c>
      <c r="F520">
        <v>81692.97</v>
      </c>
      <c r="G520" s="1">
        <v>45823</v>
      </c>
      <c r="H520" t="s">
        <v>1136</v>
      </c>
      <c r="I520" t="str">
        <f t="shared" si="49"/>
        <v>OK</v>
      </c>
      <c r="J520" t="str">
        <f t="shared" si="50"/>
        <v>OK</v>
      </c>
      <c r="K520" t="str">
        <f t="shared" si="51"/>
        <v>Unique</v>
      </c>
      <c r="L520" t="str">
        <f t="shared" si="52"/>
        <v>OK</v>
      </c>
      <c r="M520" t="str">
        <f t="shared" si="53"/>
        <v>CLEAN</v>
      </c>
      <c r="N520" t="str">
        <f t="shared" si="48"/>
        <v/>
      </c>
    </row>
    <row r="521" spans="1:14" x14ac:dyDescent="0.35">
      <c r="A521" t="s">
        <v>992</v>
      </c>
      <c r="B521" t="s">
        <v>42</v>
      </c>
      <c r="C521" t="s">
        <v>17</v>
      </c>
      <c r="D521">
        <v>1</v>
      </c>
      <c r="E521">
        <v>277285.7</v>
      </c>
      <c r="F521">
        <v>277285.7</v>
      </c>
      <c r="G521" s="1">
        <v>45715</v>
      </c>
      <c r="H521" t="s">
        <v>993</v>
      </c>
      <c r="I521" t="str">
        <f t="shared" si="49"/>
        <v>OK</v>
      </c>
      <c r="J521" t="str">
        <f t="shared" si="50"/>
        <v>OK</v>
      </c>
      <c r="K521" t="str">
        <f t="shared" si="51"/>
        <v>Unique</v>
      </c>
      <c r="L521" t="str">
        <f t="shared" si="52"/>
        <v>OK</v>
      </c>
      <c r="M521" t="str">
        <f t="shared" si="53"/>
        <v>CLEAN</v>
      </c>
      <c r="N521" t="str">
        <f t="shared" si="48"/>
        <v/>
      </c>
    </row>
    <row r="522" spans="1:14" x14ac:dyDescent="0.35">
      <c r="A522" t="s">
        <v>1047</v>
      </c>
      <c r="B522" t="s">
        <v>79</v>
      </c>
      <c r="C522" t="s">
        <v>90</v>
      </c>
      <c r="D522">
        <v>1</v>
      </c>
      <c r="E522">
        <v>0</v>
      </c>
      <c r="F522">
        <v>0</v>
      </c>
      <c r="G522" s="1">
        <v>45187</v>
      </c>
      <c r="H522" t="s">
        <v>994</v>
      </c>
      <c r="I522" t="str">
        <f t="shared" si="49"/>
        <v>Check Price</v>
      </c>
      <c r="J522" t="str">
        <f t="shared" si="50"/>
        <v>Zero Sale</v>
      </c>
      <c r="K522" t="str">
        <f t="shared" si="51"/>
        <v>Unique</v>
      </c>
      <c r="L522" t="str">
        <f t="shared" si="52"/>
        <v>OK</v>
      </c>
      <c r="M522" t="str">
        <f t="shared" si="53"/>
        <v>EXCEPTION</v>
      </c>
      <c r="N522" t="str">
        <f t="shared" si="48"/>
        <v>Price Issue, Zero Sale</v>
      </c>
    </row>
    <row r="523" spans="1:14" x14ac:dyDescent="0.35">
      <c r="A523" t="s">
        <v>995</v>
      </c>
      <c r="B523" t="s">
        <v>53</v>
      </c>
      <c r="C523" t="s">
        <v>55</v>
      </c>
      <c r="D523">
        <v>1</v>
      </c>
      <c r="E523">
        <v>205486.41</v>
      </c>
      <c r="F523">
        <v>205486.41</v>
      </c>
      <c r="G523" s="1">
        <v>45624</v>
      </c>
      <c r="H523" t="s">
        <v>996</v>
      </c>
      <c r="I523" t="str">
        <f t="shared" si="49"/>
        <v>OK</v>
      </c>
      <c r="J523" t="str">
        <f t="shared" si="50"/>
        <v>OK</v>
      </c>
      <c r="K523" t="str">
        <f t="shared" si="51"/>
        <v>Unique</v>
      </c>
      <c r="L523" t="str">
        <f t="shared" si="52"/>
        <v>OK</v>
      </c>
      <c r="M523" t="str">
        <f t="shared" si="53"/>
        <v>CLEAN</v>
      </c>
      <c r="N523" t="str">
        <f t="shared" si="48"/>
        <v/>
      </c>
    </row>
    <row r="524" spans="1:14" x14ac:dyDescent="0.35">
      <c r="A524" t="s">
        <v>997</v>
      </c>
      <c r="B524" t="s">
        <v>105</v>
      </c>
      <c r="C524" t="s">
        <v>27</v>
      </c>
      <c r="D524">
        <v>69</v>
      </c>
      <c r="E524">
        <v>84471.72</v>
      </c>
      <c r="F524">
        <v>5828548.6799999997</v>
      </c>
      <c r="G524" s="1">
        <v>45563</v>
      </c>
      <c r="H524" t="s">
        <v>998</v>
      </c>
      <c r="I524" t="str">
        <f t="shared" si="49"/>
        <v>OK</v>
      </c>
      <c r="J524" t="str">
        <f t="shared" si="50"/>
        <v>OK</v>
      </c>
      <c r="K524" t="str">
        <f t="shared" si="51"/>
        <v>Unique</v>
      </c>
      <c r="L524" t="str">
        <f t="shared" si="52"/>
        <v>OK</v>
      </c>
      <c r="M524" t="str">
        <f t="shared" si="53"/>
        <v>CLEAN</v>
      </c>
      <c r="N524" t="str">
        <f t="shared" si="48"/>
        <v/>
      </c>
    </row>
    <row r="525" spans="1:14" x14ac:dyDescent="0.35">
      <c r="A525" t="s">
        <v>999</v>
      </c>
      <c r="B525" t="s">
        <v>213</v>
      </c>
      <c r="C525" t="s">
        <v>46</v>
      </c>
      <c r="D525">
        <v>1</v>
      </c>
      <c r="E525">
        <v>163137.69</v>
      </c>
      <c r="F525">
        <v>163137.69</v>
      </c>
      <c r="G525" s="1">
        <v>45298</v>
      </c>
      <c r="H525" t="s">
        <v>1000</v>
      </c>
      <c r="I525" t="str">
        <f t="shared" si="49"/>
        <v>OK</v>
      </c>
      <c r="J525" t="str">
        <f t="shared" si="50"/>
        <v>OK</v>
      </c>
      <c r="K525" t="str">
        <f t="shared" si="51"/>
        <v>Unique</v>
      </c>
      <c r="L525" t="str">
        <f t="shared" si="52"/>
        <v>OK</v>
      </c>
      <c r="M525" t="str">
        <f t="shared" si="53"/>
        <v>CLEAN</v>
      </c>
      <c r="N525" t="str">
        <f t="shared" si="48"/>
        <v/>
      </c>
    </row>
    <row r="526" spans="1:14" x14ac:dyDescent="0.35">
      <c r="A526" t="s">
        <v>1001</v>
      </c>
      <c r="B526" t="s">
        <v>105</v>
      </c>
      <c r="C526" t="s">
        <v>17</v>
      </c>
      <c r="D526">
        <v>1</v>
      </c>
      <c r="E526">
        <v>197603.72</v>
      </c>
      <c r="F526">
        <v>197603.72</v>
      </c>
      <c r="G526" s="1">
        <v>45533</v>
      </c>
      <c r="H526" t="s">
        <v>1002</v>
      </c>
      <c r="I526" t="str">
        <f t="shared" si="49"/>
        <v>OK</v>
      </c>
      <c r="J526" t="str">
        <f t="shared" si="50"/>
        <v>OK</v>
      </c>
      <c r="K526" t="str">
        <f t="shared" si="51"/>
        <v>Unique</v>
      </c>
      <c r="L526" t="str">
        <f t="shared" si="52"/>
        <v>OK</v>
      </c>
      <c r="M526" t="str">
        <f t="shared" si="53"/>
        <v>CLEAN</v>
      </c>
      <c r="N526" t="str">
        <f t="shared" si="48"/>
        <v/>
      </c>
    </row>
    <row r="527" spans="1:14" x14ac:dyDescent="0.35">
      <c r="A527" t="s">
        <v>1003</v>
      </c>
      <c r="B527" t="s">
        <v>20</v>
      </c>
      <c r="C527" t="s">
        <v>23</v>
      </c>
      <c r="D527">
        <v>1</v>
      </c>
      <c r="E527">
        <v>54216.67</v>
      </c>
      <c r="F527">
        <v>54216.67</v>
      </c>
      <c r="G527" s="1">
        <v>45691</v>
      </c>
      <c r="H527" t="s">
        <v>1004</v>
      </c>
      <c r="I527" t="str">
        <f t="shared" si="49"/>
        <v>OK</v>
      </c>
      <c r="J527" t="str">
        <f t="shared" si="50"/>
        <v>OK</v>
      </c>
      <c r="K527" t="str">
        <f t="shared" si="51"/>
        <v>Unique</v>
      </c>
      <c r="L527" t="str">
        <f t="shared" si="52"/>
        <v>OK</v>
      </c>
      <c r="M527" t="str">
        <f t="shared" si="53"/>
        <v>CLEAN</v>
      </c>
      <c r="N527" t="str">
        <f t="shared" si="48"/>
        <v/>
      </c>
    </row>
    <row r="528" spans="1:14" x14ac:dyDescent="0.35">
      <c r="A528" t="s">
        <v>1056</v>
      </c>
      <c r="B528" t="s">
        <v>26</v>
      </c>
      <c r="C528" t="s">
        <v>70</v>
      </c>
      <c r="D528">
        <v>1</v>
      </c>
      <c r="E528">
        <v>255203.07</v>
      </c>
      <c r="F528">
        <v>255203.07</v>
      </c>
      <c r="G528" s="1">
        <v>45679</v>
      </c>
      <c r="H528" t="s">
        <v>1005</v>
      </c>
      <c r="I528" t="str">
        <f t="shared" si="49"/>
        <v>OK</v>
      </c>
      <c r="J528" t="str">
        <f t="shared" si="50"/>
        <v>OK</v>
      </c>
      <c r="K528" t="str">
        <f t="shared" si="51"/>
        <v>Unique</v>
      </c>
      <c r="L528" t="str">
        <f t="shared" si="52"/>
        <v>OK</v>
      </c>
      <c r="M528" t="str">
        <f t="shared" si="53"/>
        <v>CLEAN</v>
      </c>
      <c r="N528" t="str">
        <f t="shared" si="48"/>
        <v/>
      </c>
    </row>
    <row r="529" spans="1:14" x14ac:dyDescent="0.35">
      <c r="A529" t="s">
        <v>1006</v>
      </c>
      <c r="B529" t="s">
        <v>11</v>
      </c>
      <c r="C529" t="s">
        <v>46</v>
      </c>
      <c r="D529">
        <v>47</v>
      </c>
      <c r="E529">
        <v>5189.6000000000004</v>
      </c>
      <c r="F529">
        <v>243911.2</v>
      </c>
      <c r="G529" s="1">
        <v>45778</v>
      </c>
      <c r="H529" t="s">
        <v>1007</v>
      </c>
      <c r="I529" t="str">
        <f t="shared" si="49"/>
        <v>OK</v>
      </c>
      <c r="J529" t="str">
        <f t="shared" si="50"/>
        <v>OK</v>
      </c>
      <c r="K529" t="str">
        <f t="shared" si="51"/>
        <v>Unique</v>
      </c>
      <c r="L529" t="str">
        <f t="shared" si="52"/>
        <v>OK</v>
      </c>
      <c r="M529" t="str">
        <f t="shared" si="53"/>
        <v>CLEAN</v>
      </c>
      <c r="N529" t="str">
        <f t="shared" si="48"/>
        <v/>
      </c>
    </row>
    <row r="530" spans="1:14" x14ac:dyDescent="0.35">
      <c r="A530" t="s">
        <v>1008</v>
      </c>
      <c r="B530" t="s">
        <v>31</v>
      </c>
      <c r="C530" t="s">
        <v>12</v>
      </c>
      <c r="D530">
        <v>52</v>
      </c>
      <c r="E530">
        <v>62543.86</v>
      </c>
      <c r="F530">
        <v>3252280.72</v>
      </c>
      <c r="G530" s="1">
        <v>45845</v>
      </c>
      <c r="H530" t="s">
        <v>1009</v>
      </c>
      <c r="I530" t="str">
        <f t="shared" si="49"/>
        <v>OK</v>
      </c>
      <c r="J530" t="str">
        <f t="shared" si="50"/>
        <v>OK</v>
      </c>
      <c r="K530" t="str">
        <f t="shared" si="51"/>
        <v>Unique</v>
      </c>
      <c r="L530" t="str">
        <f t="shared" si="52"/>
        <v>OK</v>
      </c>
      <c r="M530" t="str">
        <f t="shared" si="53"/>
        <v>CLEAN</v>
      </c>
      <c r="N530" t="str">
        <f t="shared" si="48"/>
        <v/>
      </c>
    </row>
    <row r="531" spans="1:14" x14ac:dyDescent="0.35">
      <c r="A531" t="s">
        <v>1010</v>
      </c>
      <c r="B531" t="s">
        <v>42</v>
      </c>
      <c r="C531" t="s">
        <v>90</v>
      </c>
      <c r="D531">
        <v>1</v>
      </c>
      <c r="E531">
        <v>43685.37</v>
      </c>
      <c r="F531">
        <v>43685.37</v>
      </c>
      <c r="G531" s="1">
        <v>45146</v>
      </c>
      <c r="H531" t="s">
        <v>1011</v>
      </c>
      <c r="I531" t="str">
        <f t="shared" si="49"/>
        <v>OK</v>
      </c>
      <c r="J531" t="str">
        <f t="shared" si="50"/>
        <v>OK</v>
      </c>
      <c r="K531" t="str">
        <f t="shared" si="51"/>
        <v>Unique</v>
      </c>
      <c r="L531" t="str">
        <f t="shared" si="52"/>
        <v>OK</v>
      </c>
      <c r="M531" t="str">
        <f t="shared" si="53"/>
        <v>CLEAN</v>
      </c>
      <c r="N531" t="str">
        <f t="shared" si="48"/>
        <v/>
      </c>
    </row>
    <row r="532" spans="1:14" x14ac:dyDescent="0.35">
      <c r="A532" t="s">
        <v>1012</v>
      </c>
      <c r="B532" t="s">
        <v>20</v>
      </c>
      <c r="C532" t="s">
        <v>90</v>
      </c>
      <c r="D532">
        <v>1</v>
      </c>
      <c r="E532">
        <v>0</v>
      </c>
      <c r="F532">
        <v>0</v>
      </c>
      <c r="G532" s="1">
        <v>45827</v>
      </c>
      <c r="H532" t="s">
        <v>1013</v>
      </c>
      <c r="I532" t="str">
        <f t="shared" si="49"/>
        <v>Check Price</v>
      </c>
      <c r="J532" t="str">
        <f t="shared" si="50"/>
        <v>Zero Sale</v>
      </c>
      <c r="K532" t="str">
        <f t="shared" si="51"/>
        <v>Unique</v>
      </c>
      <c r="L532" t="str">
        <f t="shared" si="52"/>
        <v>OK</v>
      </c>
      <c r="M532" t="str">
        <f t="shared" si="53"/>
        <v>EXCEPTION</v>
      </c>
      <c r="N532" t="str">
        <f t="shared" si="48"/>
        <v>Price Issue, Zero Sale</v>
      </c>
    </row>
    <row r="533" spans="1:14" x14ac:dyDescent="0.35">
      <c r="A533" t="s">
        <v>1014</v>
      </c>
      <c r="B533" t="s">
        <v>85</v>
      </c>
      <c r="C533" t="s">
        <v>23</v>
      </c>
      <c r="D533">
        <v>1</v>
      </c>
      <c r="E533">
        <v>246296.88</v>
      </c>
      <c r="F533">
        <v>246296.88</v>
      </c>
      <c r="G533" s="1">
        <v>45833</v>
      </c>
      <c r="H533" t="s">
        <v>1015</v>
      </c>
      <c r="I533" t="str">
        <f t="shared" si="49"/>
        <v>OK</v>
      </c>
      <c r="J533" t="str">
        <f t="shared" si="50"/>
        <v>OK</v>
      </c>
      <c r="K533" t="str">
        <f t="shared" si="51"/>
        <v>Unique</v>
      </c>
      <c r="L533" t="str">
        <f t="shared" si="52"/>
        <v>OK</v>
      </c>
      <c r="M533" t="str">
        <f t="shared" si="53"/>
        <v>CLEAN</v>
      </c>
      <c r="N533" t="str">
        <f t="shared" si="48"/>
        <v/>
      </c>
    </row>
    <row r="534" spans="1:14" x14ac:dyDescent="0.35">
      <c r="A534" t="s">
        <v>1016</v>
      </c>
      <c r="B534" t="s">
        <v>58</v>
      </c>
      <c r="C534" t="s">
        <v>17</v>
      </c>
      <c r="D534">
        <v>1</v>
      </c>
      <c r="E534">
        <v>246360.27</v>
      </c>
      <c r="F534">
        <v>246360.27</v>
      </c>
      <c r="G534" s="1">
        <v>45253</v>
      </c>
      <c r="H534" t="s">
        <v>1137</v>
      </c>
      <c r="I534" t="str">
        <f t="shared" si="49"/>
        <v>OK</v>
      </c>
      <c r="J534" t="str">
        <f t="shared" si="50"/>
        <v>OK</v>
      </c>
      <c r="K534" t="str">
        <f t="shared" si="51"/>
        <v>Unique</v>
      </c>
      <c r="L534" t="str">
        <f t="shared" si="52"/>
        <v>OK</v>
      </c>
      <c r="M534" t="str">
        <f t="shared" si="53"/>
        <v>CLEAN</v>
      </c>
      <c r="N534" t="str">
        <f t="shared" si="48"/>
        <v/>
      </c>
    </row>
    <row r="535" spans="1:14" x14ac:dyDescent="0.35">
      <c r="A535" t="s">
        <v>1047</v>
      </c>
      <c r="B535" t="s">
        <v>76</v>
      </c>
      <c r="C535" t="s">
        <v>46</v>
      </c>
      <c r="D535">
        <v>1</v>
      </c>
      <c r="E535">
        <v>278698.03999999998</v>
      </c>
      <c r="F535">
        <v>278698.03999999998</v>
      </c>
      <c r="G535" s="1">
        <v>45442</v>
      </c>
      <c r="H535" t="s">
        <v>1017</v>
      </c>
      <c r="I535" t="str">
        <f t="shared" si="49"/>
        <v>OK</v>
      </c>
      <c r="J535" t="str">
        <f t="shared" si="50"/>
        <v>OK</v>
      </c>
      <c r="K535" t="str">
        <f t="shared" si="51"/>
        <v>Unique</v>
      </c>
      <c r="L535" t="str">
        <f t="shared" si="52"/>
        <v>OK</v>
      </c>
      <c r="M535" t="str">
        <f t="shared" si="53"/>
        <v>CLEAN</v>
      </c>
      <c r="N535" t="str">
        <f t="shared" si="48"/>
        <v/>
      </c>
    </row>
    <row r="536" spans="1:14" x14ac:dyDescent="0.35">
      <c r="A536" t="s">
        <v>1018</v>
      </c>
      <c r="B536" t="s">
        <v>45</v>
      </c>
      <c r="C536" t="s">
        <v>46</v>
      </c>
      <c r="D536">
        <v>1</v>
      </c>
      <c r="E536">
        <v>90133.43</v>
      </c>
      <c r="F536">
        <v>90133.43</v>
      </c>
      <c r="G536" s="1">
        <v>45803</v>
      </c>
      <c r="H536" t="s">
        <v>1019</v>
      </c>
      <c r="I536" t="str">
        <f t="shared" si="49"/>
        <v>OK</v>
      </c>
      <c r="J536" t="str">
        <f t="shared" si="50"/>
        <v>OK</v>
      </c>
      <c r="K536" t="str">
        <f t="shared" si="51"/>
        <v>Unique</v>
      </c>
      <c r="L536" t="str">
        <f t="shared" si="52"/>
        <v>OK</v>
      </c>
      <c r="M536" t="str">
        <f t="shared" si="53"/>
        <v>CLEAN</v>
      </c>
      <c r="N536" t="str">
        <f t="shared" si="48"/>
        <v/>
      </c>
    </row>
    <row r="537" spans="1:14" x14ac:dyDescent="0.35">
      <c r="A537" t="s">
        <v>1020</v>
      </c>
      <c r="B537" t="s">
        <v>34</v>
      </c>
      <c r="C537" t="s">
        <v>27</v>
      </c>
      <c r="D537">
        <v>1</v>
      </c>
      <c r="E537">
        <v>169405.48</v>
      </c>
      <c r="F537">
        <v>169405.48</v>
      </c>
      <c r="G537" s="1">
        <v>45768</v>
      </c>
      <c r="H537" t="s">
        <v>1021</v>
      </c>
      <c r="I537" t="str">
        <f t="shared" si="49"/>
        <v>OK</v>
      </c>
      <c r="J537" t="str">
        <f t="shared" si="50"/>
        <v>OK</v>
      </c>
      <c r="K537" t="str">
        <f t="shared" si="51"/>
        <v>Unique</v>
      </c>
      <c r="L537" t="str">
        <f t="shared" si="52"/>
        <v>OK</v>
      </c>
      <c r="M537" t="str">
        <f t="shared" si="53"/>
        <v>CLEAN</v>
      </c>
      <c r="N537" t="str">
        <f t="shared" si="48"/>
        <v/>
      </c>
    </row>
    <row r="538" spans="1:14" x14ac:dyDescent="0.35">
      <c r="A538" t="s">
        <v>1022</v>
      </c>
      <c r="B538" t="s">
        <v>20</v>
      </c>
      <c r="C538" t="s">
        <v>12</v>
      </c>
      <c r="D538">
        <v>1</v>
      </c>
      <c r="E538">
        <v>170225.43</v>
      </c>
      <c r="F538">
        <v>170225.43</v>
      </c>
      <c r="G538" s="1">
        <v>45254</v>
      </c>
      <c r="H538" t="s">
        <v>1023</v>
      </c>
      <c r="I538" t="str">
        <f t="shared" si="49"/>
        <v>OK</v>
      </c>
      <c r="J538" t="str">
        <f t="shared" si="50"/>
        <v>OK</v>
      </c>
      <c r="K538" t="str">
        <f t="shared" si="51"/>
        <v>Unique</v>
      </c>
      <c r="L538" t="str">
        <f t="shared" si="52"/>
        <v>OK</v>
      </c>
      <c r="M538" t="str">
        <f t="shared" si="53"/>
        <v>CLEAN</v>
      </c>
      <c r="N538" t="str">
        <f t="shared" si="48"/>
        <v/>
      </c>
    </row>
    <row r="539" spans="1:14" x14ac:dyDescent="0.35">
      <c r="A539" t="s">
        <v>1024</v>
      </c>
      <c r="B539" t="s">
        <v>31</v>
      </c>
      <c r="C539" t="s">
        <v>70</v>
      </c>
      <c r="D539">
        <v>16</v>
      </c>
      <c r="E539">
        <v>254908.01</v>
      </c>
      <c r="F539">
        <v>4078528.16</v>
      </c>
      <c r="G539" s="1">
        <v>45843</v>
      </c>
      <c r="H539" t="s">
        <v>1025</v>
      </c>
      <c r="I539" t="str">
        <f t="shared" si="49"/>
        <v>OK</v>
      </c>
      <c r="J539" t="str">
        <f t="shared" si="50"/>
        <v>OK</v>
      </c>
      <c r="K539" t="str">
        <f t="shared" si="51"/>
        <v>Unique</v>
      </c>
      <c r="L539" t="str">
        <f t="shared" si="52"/>
        <v>OK</v>
      </c>
      <c r="M539" t="str">
        <f t="shared" si="53"/>
        <v>CLEAN</v>
      </c>
      <c r="N539" t="str">
        <f t="shared" si="48"/>
        <v/>
      </c>
    </row>
    <row r="540" spans="1:14" x14ac:dyDescent="0.35">
      <c r="A540" t="s">
        <v>1026</v>
      </c>
      <c r="B540" t="s">
        <v>76</v>
      </c>
      <c r="C540" t="s">
        <v>17</v>
      </c>
      <c r="D540">
        <v>1</v>
      </c>
      <c r="E540">
        <v>203271.97</v>
      </c>
      <c r="F540">
        <v>203271.97</v>
      </c>
      <c r="G540" s="1">
        <v>45832</v>
      </c>
      <c r="H540" t="s">
        <v>1027</v>
      </c>
      <c r="I540" t="str">
        <f t="shared" si="49"/>
        <v>OK</v>
      </c>
      <c r="J540" t="str">
        <f t="shared" si="50"/>
        <v>OK</v>
      </c>
      <c r="K540" t="str">
        <f t="shared" si="51"/>
        <v>Unique</v>
      </c>
      <c r="L540" t="str">
        <f t="shared" si="52"/>
        <v>OK</v>
      </c>
      <c r="M540" t="str">
        <f t="shared" si="53"/>
        <v>CLEAN</v>
      </c>
      <c r="N540" t="str">
        <f t="shared" si="48"/>
        <v/>
      </c>
    </row>
    <row r="541" spans="1:14" x14ac:dyDescent="0.35">
      <c r="A541" t="s">
        <v>1028</v>
      </c>
      <c r="B541" t="s">
        <v>26</v>
      </c>
      <c r="C541" t="s">
        <v>55</v>
      </c>
      <c r="D541">
        <v>1</v>
      </c>
      <c r="E541">
        <v>162398.45000000001</v>
      </c>
      <c r="F541">
        <v>162398.45000000001</v>
      </c>
      <c r="G541" s="1">
        <v>45146</v>
      </c>
      <c r="H541" t="s">
        <v>1029</v>
      </c>
      <c r="I541" t="str">
        <f t="shared" si="49"/>
        <v>OK</v>
      </c>
      <c r="J541" t="str">
        <f t="shared" si="50"/>
        <v>OK</v>
      </c>
      <c r="K541" t="str">
        <f t="shared" si="51"/>
        <v>Unique</v>
      </c>
      <c r="L541" t="str">
        <f t="shared" si="52"/>
        <v>OK</v>
      </c>
      <c r="M541" t="str">
        <f t="shared" si="53"/>
        <v>CLEAN</v>
      </c>
      <c r="N541" t="str">
        <f t="shared" si="48"/>
        <v/>
      </c>
    </row>
    <row r="542" spans="1:14" x14ac:dyDescent="0.35">
      <c r="A542" t="s">
        <v>1030</v>
      </c>
      <c r="B542" t="s">
        <v>76</v>
      </c>
      <c r="C542" t="s">
        <v>70</v>
      </c>
      <c r="D542">
        <v>1</v>
      </c>
      <c r="E542">
        <v>0</v>
      </c>
      <c r="F542">
        <v>0</v>
      </c>
      <c r="G542" s="1">
        <v>45767</v>
      </c>
      <c r="H542" t="s">
        <v>1031</v>
      </c>
      <c r="I542" t="str">
        <f t="shared" si="49"/>
        <v>Check Price</v>
      </c>
      <c r="J542" t="str">
        <f t="shared" si="50"/>
        <v>Zero Sale</v>
      </c>
      <c r="K542" t="str">
        <f t="shared" si="51"/>
        <v>Unique</v>
      </c>
      <c r="L542" t="str">
        <f t="shared" si="52"/>
        <v>OK</v>
      </c>
      <c r="M542" t="str">
        <f t="shared" si="53"/>
        <v>EXCEPTION</v>
      </c>
      <c r="N542" t="str">
        <f t="shared" si="48"/>
        <v>Price Issue, Zero Sale</v>
      </c>
    </row>
    <row r="543" spans="1:14" x14ac:dyDescent="0.35">
      <c r="A543" t="s">
        <v>1032</v>
      </c>
      <c r="B543" t="s">
        <v>58</v>
      </c>
      <c r="C543" t="s">
        <v>12</v>
      </c>
      <c r="D543">
        <v>97</v>
      </c>
      <c r="E543">
        <v>115461.94</v>
      </c>
      <c r="F543">
        <v>11199808.18</v>
      </c>
      <c r="G543" s="1">
        <v>45426</v>
      </c>
      <c r="H543" t="s">
        <v>1033</v>
      </c>
      <c r="I543" t="str">
        <f t="shared" si="49"/>
        <v>OK</v>
      </c>
      <c r="J543" t="str">
        <f t="shared" si="50"/>
        <v>OK</v>
      </c>
      <c r="K543" t="str">
        <f t="shared" si="51"/>
        <v>Unique</v>
      </c>
      <c r="L543" t="str">
        <f t="shared" si="52"/>
        <v>OK</v>
      </c>
      <c r="M543" t="str">
        <f t="shared" si="53"/>
        <v>CLEAN</v>
      </c>
      <c r="N543" t="str">
        <f t="shared" si="48"/>
        <v/>
      </c>
    </row>
    <row r="544" spans="1:14" x14ac:dyDescent="0.35">
      <c r="A544" t="s">
        <v>1034</v>
      </c>
      <c r="B544" t="s">
        <v>34</v>
      </c>
      <c r="C544" t="s">
        <v>70</v>
      </c>
      <c r="D544">
        <v>1</v>
      </c>
      <c r="E544">
        <v>222053.68</v>
      </c>
      <c r="F544">
        <v>222053.68</v>
      </c>
      <c r="G544" s="1">
        <v>45730</v>
      </c>
      <c r="H544" t="s">
        <v>1035</v>
      </c>
      <c r="I544" t="str">
        <f t="shared" si="49"/>
        <v>OK</v>
      </c>
      <c r="J544" t="str">
        <f t="shared" si="50"/>
        <v>OK</v>
      </c>
      <c r="K544" t="str">
        <f t="shared" si="51"/>
        <v>Unique</v>
      </c>
      <c r="L544" t="str">
        <f t="shared" si="52"/>
        <v>OK</v>
      </c>
      <c r="M544" t="str">
        <f t="shared" si="53"/>
        <v>CLEAN</v>
      </c>
      <c r="N544" t="str">
        <f t="shared" si="48"/>
        <v/>
      </c>
    </row>
    <row r="545" spans="1:14" x14ac:dyDescent="0.35">
      <c r="A545" t="s">
        <v>1036</v>
      </c>
      <c r="B545" t="s">
        <v>61</v>
      </c>
      <c r="C545" t="s">
        <v>46</v>
      </c>
      <c r="D545">
        <v>1</v>
      </c>
      <c r="E545">
        <v>237254.18</v>
      </c>
      <c r="F545">
        <v>237254.18</v>
      </c>
      <c r="G545" s="1">
        <v>45502</v>
      </c>
      <c r="H545" t="s">
        <v>1037</v>
      </c>
      <c r="I545" t="str">
        <f t="shared" si="49"/>
        <v>OK</v>
      </c>
      <c r="J545" t="str">
        <f t="shared" si="50"/>
        <v>OK</v>
      </c>
      <c r="K545" t="str">
        <f t="shared" si="51"/>
        <v>Unique</v>
      </c>
      <c r="L545" t="str">
        <f t="shared" si="52"/>
        <v>OK</v>
      </c>
      <c r="M545" t="str">
        <f t="shared" si="53"/>
        <v>CLEAN</v>
      </c>
      <c r="N545" t="str">
        <f t="shared" si="48"/>
        <v/>
      </c>
    </row>
    <row r="546" spans="1:14" x14ac:dyDescent="0.35">
      <c r="A546" t="s">
        <v>1057</v>
      </c>
      <c r="B546" t="s">
        <v>89</v>
      </c>
      <c r="C546" t="s">
        <v>17</v>
      </c>
      <c r="D546">
        <v>65</v>
      </c>
      <c r="E546">
        <v>206948.51</v>
      </c>
      <c r="F546">
        <v>13451653.15</v>
      </c>
      <c r="G546" s="1">
        <v>45262</v>
      </c>
      <c r="H546" t="s">
        <v>1038</v>
      </c>
      <c r="I546" t="str">
        <f t="shared" si="49"/>
        <v>OK</v>
      </c>
      <c r="J546" t="str">
        <f t="shared" si="50"/>
        <v>OK</v>
      </c>
      <c r="K546" t="str">
        <f t="shared" si="51"/>
        <v>Unique</v>
      </c>
      <c r="L546" t="str">
        <f t="shared" si="52"/>
        <v>OK</v>
      </c>
      <c r="M546" t="str">
        <f t="shared" si="53"/>
        <v>CLEAN</v>
      </c>
      <c r="N546" t="str">
        <f t="shared" si="48"/>
        <v/>
      </c>
    </row>
    <row r="547" spans="1:14" x14ac:dyDescent="0.35">
      <c r="A547" t="s">
        <v>1039</v>
      </c>
      <c r="B547" t="s">
        <v>76</v>
      </c>
      <c r="C547" t="s">
        <v>70</v>
      </c>
      <c r="D547">
        <v>6</v>
      </c>
      <c r="E547">
        <v>23989.09</v>
      </c>
      <c r="F547">
        <v>143934.54</v>
      </c>
      <c r="G547" s="1">
        <v>45845</v>
      </c>
      <c r="H547" t="s">
        <v>1040</v>
      </c>
      <c r="I547" t="str">
        <f t="shared" si="49"/>
        <v>OK</v>
      </c>
      <c r="J547" t="str">
        <f t="shared" si="50"/>
        <v>OK</v>
      </c>
      <c r="K547" t="str">
        <f t="shared" si="51"/>
        <v>Unique</v>
      </c>
      <c r="L547" t="str">
        <f t="shared" si="52"/>
        <v>OK</v>
      </c>
      <c r="M547" t="str">
        <f t="shared" si="53"/>
        <v>CLEAN</v>
      </c>
      <c r="N547" t="str">
        <f t="shared" si="48"/>
        <v/>
      </c>
    </row>
    <row r="548" spans="1:14" x14ac:dyDescent="0.35">
      <c r="A548" t="s">
        <v>1047</v>
      </c>
      <c r="B548" t="s">
        <v>61</v>
      </c>
      <c r="C548" t="s">
        <v>23</v>
      </c>
      <c r="D548">
        <v>1</v>
      </c>
      <c r="E548">
        <v>223764.24</v>
      </c>
      <c r="F548">
        <v>223764.24</v>
      </c>
      <c r="G548" s="1">
        <v>45699</v>
      </c>
      <c r="H548" t="s">
        <v>1138</v>
      </c>
      <c r="I548" t="str">
        <f t="shared" si="49"/>
        <v>OK</v>
      </c>
      <c r="J548" t="str">
        <f t="shared" si="50"/>
        <v>OK</v>
      </c>
      <c r="K548" t="str">
        <f t="shared" si="51"/>
        <v>Unique</v>
      </c>
      <c r="L548" t="str">
        <f t="shared" si="52"/>
        <v>OK</v>
      </c>
      <c r="M548" t="str">
        <f t="shared" si="53"/>
        <v>CLEAN</v>
      </c>
      <c r="N548" t="str">
        <f t="shared" si="48"/>
        <v/>
      </c>
    </row>
    <row r="549" spans="1:14" x14ac:dyDescent="0.35">
      <c r="A549" t="s">
        <v>1041</v>
      </c>
      <c r="B549" t="s">
        <v>58</v>
      </c>
      <c r="C549" t="s">
        <v>90</v>
      </c>
      <c r="D549">
        <v>1</v>
      </c>
      <c r="E549">
        <v>104084.92</v>
      </c>
      <c r="F549">
        <v>104084.92</v>
      </c>
      <c r="G549" s="1">
        <v>45795</v>
      </c>
      <c r="H549" t="s">
        <v>1042</v>
      </c>
      <c r="I549" t="str">
        <f t="shared" si="49"/>
        <v>OK</v>
      </c>
      <c r="J549" t="str">
        <f t="shared" si="50"/>
        <v>OK</v>
      </c>
      <c r="K549" t="str">
        <f t="shared" si="51"/>
        <v>Unique</v>
      </c>
      <c r="L549" t="str">
        <f t="shared" si="52"/>
        <v>OK</v>
      </c>
      <c r="M549" t="str">
        <f t="shared" si="53"/>
        <v>CLEAN</v>
      </c>
      <c r="N549" t="str">
        <f t="shared" si="48"/>
        <v/>
      </c>
    </row>
    <row r="550" spans="1:14" x14ac:dyDescent="0.35">
      <c r="A550" t="s">
        <v>1043</v>
      </c>
      <c r="B550" t="s">
        <v>42</v>
      </c>
      <c r="C550" t="s">
        <v>55</v>
      </c>
      <c r="D550">
        <v>1</v>
      </c>
      <c r="E550">
        <v>29756.89</v>
      </c>
      <c r="F550">
        <v>29756.89</v>
      </c>
      <c r="G550" s="1">
        <v>45837</v>
      </c>
      <c r="H550" t="s">
        <v>1044</v>
      </c>
      <c r="I550" t="str">
        <f t="shared" si="49"/>
        <v>OK</v>
      </c>
      <c r="J550" t="str">
        <f t="shared" si="50"/>
        <v>OK</v>
      </c>
      <c r="K550" t="str">
        <f t="shared" si="51"/>
        <v>Unique</v>
      </c>
      <c r="L550" t="str">
        <f t="shared" si="52"/>
        <v>OK</v>
      </c>
      <c r="M550" t="str">
        <f t="shared" si="53"/>
        <v>CLEAN</v>
      </c>
      <c r="N550" t="str">
        <f t="shared" si="48"/>
        <v/>
      </c>
    </row>
    <row r="551" spans="1:14" x14ac:dyDescent="0.35">
      <c r="A551" t="s">
        <v>1045</v>
      </c>
      <c r="B551" t="s">
        <v>34</v>
      </c>
      <c r="C551" t="s">
        <v>27</v>
      </c>
      <c r="D551">
        <v>1</v>
      </c>
      <c r="E551">
        <v>70027.13</v>
      </c>
      <c r="F551">
        <v>70027.13</v>
      </c>
      <c r="G551" s="1">
        <v>45342</v>
      </c>
      <c r="H551" t="s">
        <v>1046</v>
      </c>
      <c r="I551" t="str">
        <f t="shared" si="49"/>
        <v>OK</v>
      </c>
      <c r="J551" t="str">
        <f t="shared" si="50"/>
        <v>OK</v>
      </c>
      <c r="K551" t="str">
        <f t="shared" si="51"/>
        <v>Unique</v>
      </c>
      <c r="L551" t="str">
        <f t="shared" si="52"/>
        <v>OK</v>
      </c>
      <c r="M551" t="str">
        <f t="shared" si="53"/>
        <v>CLEAN</v>
      </c>
      <c r="N551" t="str">
        <f t="shared" si="48"/>
        <v/>
      </c>
    </row>
  </sheetData>
  <conditionalFormatting sqref="A1 A543:A1048576">
    <cfRule type="containsText" dxfId="6" priority="9" operator="containsText" text="Unknown Customer">
      <formula>NOT(ISERROR(SEARCH("Unknown Customer",A1)))</formula>
    </cfRule>
  </conditionalFormatting>
  <conditionalFormatting sqref="A2:M542">
    <cfRule type="expression" dxfId="5" priority="1">
      <formula>$M2="EXCEPTION"</formula>
    </cfRule>
  </conditionalFormatting>
  <conditionalFormatting sqref="I543:I551">
    <cfRule type="containsText" dxfId="4" priority="5" operator="containsText" text="C">
      <formula>NOT(ISERROR(SEARCH("C",I543)))</formula>
    </cfRule>
    <cfRule type="containsText" dxfId="3" priority="7" operator="containsText" text="Check Price">
      <formula>NOT(ISERROR(SEARCH("Check Price",I543)))</formula>
    </cfRule>
  </conditionalFormatting>
  <conditionalFormatting sqref="J543:J551">
    <cfRule type="containsText" dxfId="2" priority="2" operator="containsText" text="ZERO SALE">
      <formula>NOT(ISERROR(SEARCH("ZERO SALE",J543)))</formula>
    </cfRule>
  </conditionalFormatting>
  <conditionalFormatting sqref="M543:M551">
    <cfRule type="containsText" dxfId="1" priority="3" operator="containsText" text="EXCEPTION">
      <formula>NOT(ISERROR(SEARCH("EXCEPTION",M543)))</formula>
    </cfRule>
    <cfRule type="containsText" dxfId="0" priority="8" operator="containsText" text="EXCEPTION">
      <formula>NOT(ISERROR(SEARCH("EXCEPTION",M543)))</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Cleaned_Data</vt:lpstr>
      <vt:lpstr>Daily_Sales_MIS</vt:lpstr>
      <vt:lpstr>Product_MIS</vt:lpstr>
      <vt:lpstr>State_MIS</vt:lpstr>
      <vt:lpstr>Channel_MIS</vt:lpstr>
      <vt:lpstr>KPI_Data</vt:lpstr>
      <vt:lpstr>Exception_Report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Subesan Rohit</cp:lastModifiedBy>
  <dcterms:created xsi:type="dcterms:W3CDTF">2025-12-26T05:19:59Z</dcterms:created>
  <dcterms:modified xsi:type="dcterms:W3CDTF">2025-12-27T04:55:51Z</dcterms:modified>
</cp:coreProperties>
</file>